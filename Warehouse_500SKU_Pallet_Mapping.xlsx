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635d12f22145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500件商品" sheetId="1" r:id="R48c1202b8f584c08"/>
    <x:sheet xmlns:r="http://schemas.openxmlformats.org/officeDocument/2006/relationships" name="棧板對照" sheetId="2" r:id="Reedd9271d0ef47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6">
    <x:font>
      <x:sz val="11"/>
      <x:name val="Carlito"/>
    </x:font>
    <x:font>
      <x:b/>
      <x:sz val="14"/>
      <x:color rgb="FFFFFFFF"/>
      <x:name val="Carlito"/>
    </x:font>
    <x:font>
      <x:sz val="11"/>
      <x:color rgb="FF1F4E78"/>
      <x:name val="Carlito"/>
    </x:font>
    <x:font>
      <x:b/>
      <x:sz val="11"/>
      <x:color rgb="FFFFFFFF"/>
      <x:name val="Carlito"/>
    </x:font>
    <x:font>
      <x:sz val="11"/>
      <x:color rgb="FF783F04"/>
      <x:name val="Carlito"/>
    </x:font>
    <x:font>
      <x:b/>
      <x:sz val="11"/>
      <x:color rgb="FF1F4E78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5394"/>
      </x:patternFill>
    </x:fill>
    <x:fill>
      <x:patternFill patternType="solid">
        <x:fgColor rgb="FFEAF3F8"/>
      </x:patternFill>
    </x:fill>
    <x:fill>
      <x:patternFill patternType="solid">
        <x:fgColor rgb="FF1F4E78"/>
      </x:patternFill>
    </x:fill>
    <x:fill>
      <x:patternFill patternType="solid">
        <x:fgColor rgb="FF783F04"/>
      </x:patternFill>
    </x:fill>
    <x:fill>
      <x:patternFill patternType="solid">
        <x:fgColor rgb="FFFFF2CC"/>
      </x:patternFill>
    </x:fill>
    <x:fill>
      <x:patternFill patternType="solid">
        <x:fgColor rgb="FF38761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horizontal="center" wrapText="1"/>
    </x:xf>
    <x:xf numFmtId="0" fontId="5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5" fillId="8" borderId="1" xfId="0" applyNumberFormat="1" applyFont="1" applyFill="1" applyBorder="1"/>
    <x:xf numFmtId="0" fontId="5" fillId="8" borderId="1" xfId="0" applyNumberFormat="1" applyFont="1" applyFill="1" applyBorder="1" applyAlignment="1">
      <x:alignment wrapText="1"/>
    </x:xf>
    <x:xf numFmtId="0" fontId="5" fillId="8" borderId="1" xfId="0" applyNumberFormat="1" applyFont="1" applyFill="1" applyBorder="1" applyAlignment="1">
      <x:alignment horizontal="center" wrapText="1"/>
    </x:xf>
    <x:xf numFmtId="0" fontId="5" fillId="8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8">
    <x:dxf>
      <x:fill>
        <x:patternFill patternType="solid">
          <x:bgColor rgb="FFD9EAD3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CE4D6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ebdbc5762f47d8" /><Relationship Type="http://schemas.openxmlformats.org/officeDocument/2006/relationships/theme" Target="/xl/theme/theme1.xml" Id="R3eb442184d584a17" /><Relationship Type="http://schemas.openxmlformats.org/officeDocument/2006/relationships/sharedStrings" Target="/xl/sharedStrings.xml" Id="R13b9c3f5cc5047e5" /><Relationship Type="http://schemas.openxmlformats.org/officeDocument/2006/relationships/worksheet" Target="/xl/worksheets/sheet1.xml" Id="R48c1202b8f584c08" /><Relationship Type="http://schemas.openxmlformats.org/officeDocument/2006/relationships/worksheet" Target="/xl/worksheets/sheet2.xml" Id="Reedd9271d0ef472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e5c8f8b4da4458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目前 vs 預測棧板數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棧板數</c:v>
          </c:tx>
          <c:cat>
            <c:strRef>
              <c:f>'棧板對照'!$X$3:$X$4</c:f>
              <c:strCache>
                <c:ptCount val="0"/>
              </c:strCache>
            </c:strRef>
          </c:cat>
          <c:val>
            <c:numRef>
              <c:f>'棧板對照'!$Y$3:$Y$4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20</xdr:col>
      <xdr:colOff>0</xdr:colOff>
      <xdr:row>10</xdr:row>
      <xdr:rowOff>0</xdr:rowOff>
    </xdr:from>
    <xdr:to>
      <xdr:col>26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e5c8f8b4da4458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KU500Table" displayName="SKU500Table" ref="A4:S504" headerRowCount="1">
  <x:tableColumns count="19">
    <x:tableColumn id="1" name="SKU編號"/>
    <x:tableColumn id="2" name="商品名稱"/>
    <x:tableColumn id="3" name="商品類別"/>
    <x:tableColumn id="4" name="KMeans群組"/>
    <x:tableColumn id="5" name="每日出貨箱數"/>
    <x:tableColumn id="6" name="每日揀貨次數"/>
    <x:tableColumn id="7" name="體積等級"/>
    <x:tableColumn id="8" name="重量等級"/>
    <x:tableColumn id="9" name="是否液體"/>
    <x:tableColumn id="10" name="是否易碎"/>
    <x:tableColumn id="11" name="是否季節性"/>
    <x:tableColumn id="12" name="季節月份"/>
    <x:tableColumn id="13" name="季節係數"/>
    <x:tableColumn id="14" name="目前庫存箱數"/>
    <x:tableColumn id="15" name="每棧板可放箱數"/>
    <x:tableColumn id="16" name="是否棧板管理"/>
    <x:tableColumn id="17" name="目前儲位區"/>
    <x:tableColumn id="18" name="目前距離主要作業區m"/>
    <x:tableColumn id="19" name="備註"/>
  </x:tableColumns>
  <x:tableStyleInfo name="TableStyleMedium2" showRowStripes="1"/>
</x:table>
</file>

<file path=xl/tables/table2.xml><?xml version="1.0" encoding="utf-8"?>
<x:table xmlns:x="http://schemas.openxmlformats.org/spreadsheetml/2006/main" id="2" name="PalletMappingTable" displayName="PalletMappingTable" ref="A4:S504" headerRowCount="1">
  <x:tableColumns count="19">
    <x:tableColumn id="1" name="SKU編號"/>
    <x:tableColumn id="2" name="商品名稱"/>
    <x:tableColumn id="3" name="KMeans群組"/>
    <x:tableColumn id="4" name="每日揀貨次數"/>
    <x:tableColumn id="5" name="是否季節性"/>
    <x:tableColumn id="6" name="季節月份"/>
    <x:tableColumn id="7" name="季節係數"/>
    <x:tableColumn id="8" name="是否棧板管理"/>
    <x:tableColumn id="9" name="目前庫存箱數"/>
    <x:tableColumn id="10" name="每棧板可放箱數"/>
    <x:tableColumn id="11" name="目前棧板數"/>
    <x:tableColumn id="12" name="預測需求箱數"/>
    <x:tableColumn id="13" name="預測棧板數"/>
    <x:tableColumn id="14" name="棧板增減"/>
    <x:tableColumn id="15" name="目前儲位區"/>
    <x:tableColumn id="16" name="目前距離主要作業區m"/>
    <x:tableColumn id="17" name="建議儲位區"/>
    <x:tableColumn id="18" name="是否季節前移"/>
    <x:tableColumn id="19" name="儲位建議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2f006f078b54af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7581f392867b47fb" /><Relationship Type="http://schemas.openxmlformats.org/officeDocument/2006/relationships/table" Target="/xl/tables/table2.xml" Id="Rb8a583d60d814baa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2" hidden="0" customWidth="1"/>
    <x:col min="4" max="4" width="12" hidden="0" customWidth="1"/>
    <x:col min="5" max="5" width="13" hidden="0" customWidth="1"/>
    <x:col min="6" max="6" width="13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2" hidden="0" customWidth="1"/>
    <x:col min="13" max="13" width="10" hidden="0" customWidth="1"/>
    <x:col min="14" max="14" width="13" hidden="0" customWidth="1"/>
    <x:col min="15" max="15" width="13" hidden="0" customWidth="1"/>
    <x:col min="16" max="16" width="12" hidden="0" customWidth="1"/>
    <x:col min="17" max="17" width="12" hidden="0" customWidth="1"/>
    <x:col min="18" max="18" width="16" hidden="0" customWidth="1"/>
    <x:col min="19" max="19" width="28" hidden="0" customWidth="1"/>
  </x:cols>
  <x:sheetData>
    <x:row r="1">
      <x:c r="A1" s="4" t="str">
        <x:v>500件商品資料表：棧板管理與季節需求預測基礎資料</x:v>
      </x:c>
    </x:row>
    <x:row r="2">
      <x:c r="A2" s="10" t="str">
        <x:v>本表只判斷「是否棧板管理：是/否」，暫不導入料架、箱位、混合棧板，避免主軸混亂。後續棧板對照表僅針對「是」的 SKU 計算棧板數與季節前移建議。</x:v>
      </x:c>
    </x:row>
    <x:row r="4">
      <x:c r="A4" s="18" t="str">
        <x:v>SKU編號</x:v>
      </x:c>
      <x:c r="B4" s="18" t="str">
        <x:v>商品名稱</x:v>
      </x:c>
      <x:c r="C4" s="18" t="str">
        <x:v>商品類別</x:v>
      </x:c>
      <x:c r="D4" s="18" t="str">
        <x:v>KMeans群組</x:v>
      </x:c>
      <x:c r="E4" s="18" t="str">
        <x:v>每日出貨箱數</x:v>
      </x:c>
      <x:c r="F4" s="18" t="str">
        <x:v>每日揀貨次數</x:v>
      </x:c>
      <x:c r="G4" s="18" t="str">
        <x:v>體積等級</x:v>
      </x:c>
      <x:c r="H4" s="18" t="str">
        <x:v>重量等級</x:v>
      </x:c>
      <x:c r="I4" s="18" t="str">
        <x:v>是否液體</x:v>
      </x:c>
      <x:c r="J4" s="18" t="str">
        <x:v>是否易碎</x:v>
      </x:c>
      <x:c r="K4" s="18" t="str">
        <x:v>是否季節性</x:v>
      </x:c>
      <x:c r="L4" s="18" t="str">
        <x:v>季節月份</x:v>
      </x:c>
      <x:c r="M4" s="18" t="str">
        <x:v>季節係數</x:v>
      </x:c>
      <x:c r="N4" s="18" t="str">
        <x:v>目前庫存箱數</x:v>
      </x:c>
      <x:c r="O4" s="18" t="str">
        <x:v>每棧板可放箱數</x:v>
      </x:c>
      <x:c r="P4" s="18" t="str">
        <x:v>是否棧板管理</x:v>
      </x:c>
      <x:c r="Q4" s="18" t="str">
        <x:v>目前儲位區</x:v>
      </x:c>
      <x:c r="R4" s="18" t="str">
        <x:v>目前距離主要作業區m</x:v>
      </x:c>
      <x:c r="S4" s="18" t="str">
        <x:v>備註</x:v>
      </x:c>
    </x:row>
    <x:row r="5">
      <x:c r="A5" s="24" t="str">
        <x:v>PX0001</x:v>
      </x:c>
      <x:c r="B5" s="24" t="str">
        <x:v>抽取式衛生紙</x:v>
      </x:c>
      <x:c r="C5" s="24" t="str">
        <x:v>紙品類</x:v>
      </x:c>
      <x:c r="D5" s="24" t="str">
        <x:v>Cluster 2</x:v>
      </x:c>
      <x:c r="E5" s="26" t="n">
        <x:v>260</x:v>
      </x:c>
      <x:c r="F5" s="26" t="n">
        <x:v>120</x:v>
      </x:c>
      <x:c r="G5" s="24" t="str">
        <x:v>大</x:v>
      </x:c>
      <x:c r="H5" s="24" t="str">
        <x:v>中</x:v>
      </x:c>
      <x:c r="I5" s="24" t="str">
        <x:v>否</x:v>
      </x:c>
      <x:c r="J5" s="24" t="str">
        <x:v>否</x:v>
      </x:c>
      <x:c r="K5" s="24" t="str">
        <x:v>否</x:v>
      </x:c>
      <x:c r="L5" s="24" t="str"/>
      <x:c r="M5" s="28" t="n">
        <x:v>1</x:v>
      </x:c>
      <x:c r="N5" s="26" t="n">
        <x:v>811</x:v>
      </x:c>
      <x:c r="O5" s="26" t="n">
        <x:v>30</x:v>
      </x:c>
      <x:c r="P5" s="24" t="str">
        <x:v>是</x:v>
      </x:c>
      <x:c r="Q5" s="24" t="str">
        <x:v>A區</x:v>
      </x:c>
      <x:c r="R5" s="26" t="n">
        <x:v>60</x:v>
      </x:c>
      <x:c r="S5" s="24" t="str">
        <x:v>高頻、體積大</x:v>
      </x:c>
    </x:row>
    <x:row r="6">
      <x:c r="A6" s="24" t="str">
        <x:v>PX0002</x:v>
      </x:c>
      <x:c r="B6" s="24" t="str">
        <x:v>瓶裝水600ml</x:v>
      </x:c>
      <x:c r="C6" s="24" t="str">
        <x:v>飲品類</x:v>
      </x:c>
      <x:c r="D6" s="24" t="str">
        <x:v>Cluster 3</x:v>
      </x:c>
      <x:c r="E6" s="26" t="n">
        <x:v>240</x:v>
      </x:c>
      <x:c r="F6" s="26" t="n">
        <x:v>115</x:v>
      </x:c>
      <x:c r="G6" s="24" t="str">
        <x:v>中</x:v>
      </x:c>
      <x:c r="H6" s="24" t="str">
        <x:v>重</x:v>
      </x:c>
      <x:c r="I6" s="24" t="str">
        <x:v>是</x:v>
      </x:c>
      <x:c r="J6" s="24" t="str">
        <x:v>否</x:v>
      </x:c>
      <x:c r="K6" s="24" t="str">
        <x:v>否</x:v>
      </x:c>
      <x:c r="L6" s="24" t="str"/>
      <x:c r="M6" s="28" t="n">
        <x:v>1.5</x:v>
      </x:c>
      <x:c r="N6" s="26" t="n">
        <x:v>619</x:v>
      </x:c>
      <x:c r="O6" s="26" t="n">
        <x:v>40</x:v>
      </x:c>
      <x:c r="P6" s="24" t="str">
        <x:v>是</x:v>
      </x:c>
      <x:c r="Q6" s="24" t="str">
        <x:v>K區</x:v>
      </x:c>
      <x:c r="R6" s="26" t="n">
        <x:v>55</x:v>
      </x:c>
      <x:c r="S6" s="24" t="str">
        <x:v>高頻、重量重</x:v>
      </x:c>
    </x:row>
    <x:row r="7">
      <x:c r="A7" s="24" t="str">
        <x:v>PX0003</x:v>
      </x:c>
      <x:c r="B7" s="24" t="str">
        <x:v>家庭號礦泉水</x:v>
      </x:c>
      <x:c r="C7" s="24" t="str">
        <x:v>飲品類</x:v>
      </x:c>
      <x:c r="D7" s="24" t="str">
        <x:v>Cluster 3</x:v>
      </x:c>
      <x:c r="E7" s="26" t="n">
        <x:v>210</x:v>
      </x:c>
      <x:c r="F7" s="26" t="n">
        <x:v>100</x:v>
      </x:c>
      <x:c r="G7" s="24" t="str">
        <x:v>大</x:v>
      </x:c>
      <x:c r="H7" s="24" t="str">
        <x:v>重</x:v>
      </x:c>
      <x:c r="I7" s="24" t="str">
        <x:v>是</x:v>
      </x:c>
      <x:c r="J7" s="24" t="str">
        <x:v>否</x:v>
      </x:c>
      <x:c r="K7" s="24" t="str">
        <x:v>否</x:v>
      </x:c>
      <x:c r="L7" s="24" t="str"/>
      <x:c r="M7" s="28" t="n">
        <x:v>1.3</x:v>
      </x:c>
      <x:c r="N7" s="26" t="n">
        <x:v>547</x:v>
      </x:c>
      <x:c r="O7" s="26" t="n">
        <x:v>20</x:v>
      </x:c>
      <x:c r="P7" s="24" t="str">
        <x:v>是</x:v>
      </x:c>
      <x:c r="Q7" s="24" t="str">
        <x:v>K區</x:v>
      </x:c>
      <x:c r="R7" s="26" t="n">
        <x:v>50</x:v>
      </x:c>
      <x:c r="S7" s="24" t="str">
        <x:v>高頻、整箱重</x:v>
      </x:c>
    </x:row>
    <x:row r="8">
      <x:c r="A8" s="24" t="str">
        <x:v>PX0004</x:v>
      </x:c>
      <x:c r="B8" s="24" t="str">
        <x:v>捲筒衛生紙</x:v>
      </x:c>
      <x:c r="C8" s="24" t="str">
        <x:v>紙品類</x:v>
      </x:c>
      <x:c r="D8" s="24" t="str">
        <x:v>Cluster 2</x:v>
      </x:c>
      <x:c r="E8" s="26" t="n">
        <x:v>190</x:v>
      </x:c>
      <x:c r="F8" s="26" t="n">
        <x:v>92</x:v>
      </x:c>
      <x:c r="G8" s="24" t="str">
        <x:v>大</x:v>
      </x:c>
      <x:c r="H8" s="24" t="str">
        <x:v>中</x:v>
      </x:c>
      <x:c r="I8" s="24" t="str">
        <x:v>否</x:v>
      </x:c>
      <x:c r="J8" s="24" t="str">
        <x:v>否</x:v>
      </x:c>
      <x:c r="K8" s="24" t="str">
        <x:v>否</x:v>
      </x:c>
      <x:c r="L8" s="24" t="str"/>
      <x:c r="M8" s="28" t="n">
        <x:v>1</x:v>
      </x:c>
      <x:c r="N8" s="26" t="n">
        <x:v>774</x:v>
      </x:c>
      <x:c r="O8" s="26" t="n">
        <x:v>18</x:v>
      </x:c>
      <x:c r="P8" s="24" t="str">
        <x:v>是</x:v>
      </x:c>
      <x:c r="Q8" s="24" t="str">
        <x:v>1區</x:v>
      </x:c>
      <x:c r="R8" s="26" t="n">
        <x:v>45</x:v>
      </x:c>
      <x:c r="S8" s="24" t="str">
        <x:v>高頻、占空間</x:v>
      </x:c>
    </x:row>
    <x:row r="9">
      <x:c r="A9" s="24" t="str">
        <x:v>PX0005</x:v>
      </x:c>
      <x:c r="B9" s="24" t="str">
        <x:v>茶飲料整箱</x:v>
      </x:c>
      <x:c r="C9" s="24" t="str">
        <x:v>飲品類</x:v>
      </x:c>
      <x:c r="D9" s="24" t="str">
        <x:v>Cluster 3</x:v>
      </x:c>
      <x:c r="E9" s="26" t="n">
        <x:v>170</x:v>
      </x:c>
      <x:c r="F9" s="26" t="n">
        <x:v>86</x:v>
      </x:c>
      <x:c r="G9" s="24" t="str">
        <x:v>中</x:v>
      </x:c>
      <x:c r="H9" s="24" t="str">
        <x:v>重</x:v>
      </x:c>
      <x:c r="I9" s="24" t="str">
        <x:v>是</x:v>
      </x:c>
      <x:c r="J9" s="24" t="str">
        <x:v>否</x:v>
      </x:c>
      <x:c r="K9" s="24" t="str">
        <x:v>否</x:v>
      </x:c>
      <x:c r="L9" s="24" t="str"/>
      <x:c r="M9" s="28" t="n">
        <x:v>1.3</x:v>
      </x:c>
      <x:c r="N9" s="26" t="n">
        <x:v>409</x:v>
      </x:c>
      <x:c r="O9" s="26" t="n">
        <x:v>48</x:v>
      </x:c>
      <x:c r="P9" s="24" t="str">
        <x:v>是</x:v>
      </x:c>
      <x:c r="Q9" s="24" t="str">
        <x:v>1區</x:v>
      </x:c>
      <x:c r="R9" s="26" t="n">
        <x:v>42</x:v>
      </x:c>
      <x:c r="S9" s="24" t="str">
        <x:v>高頻、整箱搬運</x:v>
      </x:c>
    </x:row>
    <x:row r="10">
      <x:c r="A10" s="24" t="str">
        <x:v>PX0006</x:v>
      </x:c>
      <x:c r="B10" s="24" t="str">
        <x:v>泡麵箱</x:v>
      </x:c>
      <x:c r="C10" s="24" t="str">
        <x:v>食品類</x:v>
      </x:c>
      <x:c r="D10" s="24" t="str">
        <x:v>Cluster 5</x:v>
      </x:c>
      <x:c r="E10" s="26" t="n">
        <x:v>150</x:v>
      </x:c>
      <x:c r="F10" s="26" t="n">
        <x:v>78</x:v>
      </x:c>
      <x:c r="G10" s="24" t="str">
        <x:v>中</x:v>
      </x:c>
      <x:c r="H10" s="24" t="str">
        <x:v>中</x:v>
      </x:c>
      <x:c r="I10" s="24" t="str">
        <x:v>否</x:v>
      </x:c>
      <x:c r="J10" s="24" t="str">
        <x:v>否</x:v>
      </x:c>
      <x:c r="K10" s="24" t="str">
        <x:v>否</x:v>
      </x:c>
      <x:c r="L10" s="24" t="str"/>
      <x:c r="M10" s="28" t="n">
        <x:v>1</x:v>
      </x:c>
      <x:c r="N10" s="26" t="n">
        <x:v>488</x:v>
      </x:c>
      <x:c r="O10" s="26" t="n">
        <x:v>72</x:v>
      </x:c>
      <x:c r="P10" s="24" t="str">
        <x:v>是</x:v>
      </x:c>
      <x:c r="Q10" s="24" t="str">
        <x:v>A區</x:v>
      </x:c>
      <x:c r="R10" s="26" t="n">
        <x:v>40</x:v>
      </x:c>
      <x:c r="S10" s="24" t="str">
        <x:v>高頻、補貨快</x:v>
      </x:c>
    </x:row>
    <x:row r="11">
      <x:c r="A11" s="24" t="str">
        <x:v>PX0007</x:v>
      </x:c>
      <x:c r="B11" s="24" t="str">
        <x:v>白米3kg</x:v>
      </x:c>
      <x:c r="C11" s="24" t="str">
        <x:v>米糧類</x:v>
      </x:c>
      <x:c r="D11" s="24" t="str">
        <x:v>Cluster 3</x:v>
      </x:c>
      <x:c r="E11" s="26" t="n">
        <x:v>130</x:v>
      </x:c>
      <x:c r="F11" s="26" t="n">
        <x:v>70</x:v>
      </x:c>
      <x:c r="G11" s="24" t="str">
        <x:v>中</x:v>
      </x:c>
      <x:c r="H11" s="24" t="str">
        <x:v>重</x:v>
      </x:c>
      <x:c r="I11" s="24" t="str">
        <x:v>否</x:v>
      </x:c>
      <x:c r="J11" s="24" t="str">
        <x:v>否</x:v>
      </x:c>
      <x:c r="K11" s="24" t="str">
        <x:v>否</x:v>
      </x:c>
      <x:c r="L11" s="24" t="str"/>
      <x:c r="M11" s="28" t="n">
        <x:v>1</x:v>
      </x:c>
      <x:c r="N11" s="26" t="n">
        <x:v>605</x:v>
      </x:c>
      <x:c r="O11" s="26" t="n">
        <x:v>36</x:v>
      </x:c>
      <x:c r="P11" s="24" t="str">
        <x:v>是</x:v>
      </x:c>
      <x:c r="Q11" s="24" t="str">
        <x:v>K區</x:v>
      </x:c>
      <x:c r="R11" s="26" t="n">
        <x:v>38</x:v>
      </x:c>
      <x:c r="S11" s="24" t="str">
        <x:v>高頻、重物</x:v>
      </x:c>
    </x:row>
    <x:row r="12">
      <x:c r="A12" s="24" t="str">
        <x:v>PX0008</x:v>
      </x:c>
      <x:c r="B12" s="24" t="str">
        <x:v>洗衣精補充包</x:v>
      </x:c>
      <x:c r="C12" s="24" t="str">
        <x:v>清潔用品</x:v>
      </x:c>
      <x:c r="D12" s="24" t="str">
        <x:v>Cluster 3</x:v>
      </x:c>
      <x:c r="E12" s="26" t="n">
        <x:v>110</x:v>
      </x:c>
      <x:c r="F12" s="26" t="n">
        <x:v>62</x:v>
      </x:c>
      <x:c r="G12" s="24" t="str">
        <x:v>中</x:v>
      </x:c>
      <x:c r="H12" s="24" t="str">
        <x:v>中</x:v>
      </x:c>
      <x:c r="I12" s="24" t="str">
        <x:v>是</x:v>
      </x:c>
      <x:c r="J12" s="24" t="str">
        <x:v>否</x:v>
      </x:c>
      <x:c r="K12" s="24" t="str">
        <x:v>否</x:v>
      </x:c>
      <x:c r="L12" s="24" t="str"/>
      <x:c r="M12" s="28" t="n">
        <x:v>1.1</x:v>
      </x:c>
      <x:c r="N12" s="26" t="n">
        <x:v>534</x:v>
      </x:c>
      <x:c r="O12" s="26" t="n">
        <x:v>60</x:v>
      </x:c>
      <x:c r="P12" s="24" t="str">
        <x:v>是</x:v>
      </x:c>
      <x:c r="Q12" s="24" t="str">
        <x:v>1區</x:v>
      </x:c>
      <x:c r="R12" s="26" t="n">
        <x:v>36</x:v>
      </x:c>
      <x:c r="S12" s="24" t="str">
        <x:v>液體、補貨頻繁</x:v>
      </x:c>
    </x:row>
    <x:row r="13">
      <x:c r="A13" s="24" t="str">
        <x:v>PX0009</x:v>
      </x:c>
      <x:c r="B13" s="24" t="str">
        <x:v>廚房紙巾</x:v>
      </x:c>
      <x:c r="C13" s="24" t="str">
        <x:v>紙品類</x:v>
      </x:c>
      <x:c r="D13" s="24" t="str">
        <x:v>Cluster 2</x:v>
      </x:c>
      <x:c r="E13" s="26" t="n">
        <x:v>95</x:v>
      </x:c>
      <x:c r="F13" s="26" t="n">
        <x:v>55</x:v>
      </x:c>
      <x:c r="G13" s="24" t="str">
        <x:v>大</x:v>
      </x:c>
      <x:c r="H13" s="24" t="str">
        <x:v>輕</x:v>
      </x:c>
      <x:c r="I13" s="24" t="str">
        <x:v>否</x:v>
      </x:c>
      <x:c r="J13" s="24" t="str">
        <x:v>否</x:v>
      </x:c>
      <x:c r="K13" s="24" t="str">
        <x:v>否</x:v>
      </x:c>
      <x:c r="L13" s="24" t="str"/>
      <x:c r="M13" s="28" t="n">
        <x:v>1.1</x:v>
      </x:c>
      <x:c r="N13" s="26" t="n">
        <x:v>466</x:v>
      </x:c>
      <x:c r="O13" s="26" t="n">
        <x:v>20</x:v>
      </x:c>
      <x:c r="P13" s="24" t="str">
        <x:v>是</x:v>
      </x:c>
      <x:c r="Q13" s="24" t="str">
        <x:v>A區</x:v>
      </x:c>
      <x:c r="R13" s="26" t="n">
        <x:v>35</x:v>
      </x:c>
      <x:c r="S13" s="24" t="str">
        <x:v>體積大、重量輕</x:v>
      </x:c>
    </x:row>
    <x:row r="14">
      <x:c r="A14" s="24" t="str">
        <x:v>PX0010</x:v>
      </x:c>
      <x:c r="B14" s="24" t="str">
        <x:v>餅乾箱</x:v>
      </x:c>
      <x:c r="C14" s="24" t="str">
        <x:v>食品類</x:v>
      </x:c>
      <x:c r="D14" s="24" t="str">
        <x:v>Cluster 1</x:v>
      </x:c>
      <x:c r="E14" s="26" t="n">
        <x:v>88</x:v>
      </x:c>
      <x:c r="F14" s="26" t="n">
        <x:v>50</x:v>
      </x:c>
      <x:c r="G14" s="24" t="str">
        <x:v>中</x:v>
      </x:c>
      <x:c r="H14" s="24" t="str">
        <x:v>輕</x:v>
      </x:c>
      <x:c r="I14" s="24" t="str">
        <x:v>否</x:v>
      </x:c>
      <x:c r="J14" s="24" t="str">
        <x:v>是</x:v>
      </x:c>
      <x:c r="K14" s="24" t="str">
        <x:v>否</x:v>
      </x:c>
      <x:c r="L14" s="24" t="str"/>
      <x:c r="M14" s="28" t="n">
        <x:v>1</x:v>
      </x:c>
      <x:c r="N14" s="26" t="n">
        <x:v>284</x:v>
      </x:c>
      <x:c r="O14" s="26" t="n">
        <x:v>80</x:v>
      </x:c>
      <x:c r="P14" s="24" t="str">
        <x:v>是</x:v>
      </x:c>
      <x:c r="Q14" s="24" t="str">
        <x:v>1區</x:v>
      </x:c>
      <x:c r="R14" s="26" t="n">
        <x:v>34</x:v>
      </x:c>
      <x:c r="S14" s="24" t="str">
        <x:v>易壓、需避免重壓</x:v>
      </x:c>
    </x:row>
    <x:row r="15">
      <x:c r="A15" s="24" t="str">
        <x:v>PX0011</x:v>
      </x:c>
      <x:c r="B15" s="24" t="str">
        <x:v>罐頭食品</x:v>
      </x:c>
      <x:c r="C15" s="24" t="str">
        <x:v>食品類</x:v>
      </x:c>
      <x:c r="D15" s="24" t="str">
        <x:v>Cluster 2</x:v>
      </x:c>
      <x:c r="E15" s="26" t="n">
        <x:v>76</x:v>
      </x:c>
      <x:c r="F15" s="26" t="n">
        <x:v>45</x:v>
      </x:c>
      <x:c r="G15" s="24" t="str">
        <x:v>小</x:v>
      </x:c>
      <x:c r="H15" s="24" t="str">
        <x:v>重</x:v>
      </x:c>
      <x:c r="I15" s="24" t="str">
        <x:v>否</x:v>
      </x:c>
      <x:c r="J15" s="24" t="str">
        <x:v>否</x:v>
      </x:c>
      <x:c r="K15" s="24" t="str">
        <x:v>否</x:v>
      </x:c>
      <x:c r="L15" s="24" t="str"/>
      <x:c r="M15" s="28" t="n">
        <x:v>1</x:v>
      </x:c>
      <x:c r="N15" s="26" t="n">
        <x:v>286</x:v>
      </x:c>
      <x:c r="O15" s="26" t="n">
        <x:v>48</x:v>
      </x:c>
      <x:c r="P15" s="24" t="str">
        <x:v>是</x:v>
      </x:c>
      <x:c r="Q15" s="24" t="str">
        <x:v>K區</x:v>
      </x:c>
      <x:c r="R15" s="26" t="n">
        <x:v>32</x:v>
      </x:c>
      <x:c r="S15" s="24" t="str">
        <x:v>小體積、重量高</x:v>
      </x:c>
    </x:row>
    <x:row r="16">
      <x:c r="A16" s="24" t="str">
        <x:v>PX0012</x:v>
      </x:c>
      <x:c r="B16" s="24" t="str">
        <x:v>牛奶保久乳</x:v>
      </x:c>
      <x:c r="C16" s="24" t="str">
        <x:v>飲品類</x:v>
      </x:c>
      <x:c r="D16" s="24" t="str">
        <x:v>Cluster 2</x:v>
      </x:c>
      <x:c r="E16" s="26" t="n">
        <x:v>70</x:v>
      </x:c>
      <x:c r="F16" s="26" t="n">
        <x:v>42</x:v>
      </x:c>
      <x:c r="G16" s="24" t="str">
        <x:v>中</x:v>
      </x:c>
      <x:c r="H16" s="24" t="str">
        <x:v>重</x:v>
      </x:c>
      <x:c r="I16" s="24" t="str">
        <x:v>是</x:v>
      </x:c>
      <x:c r="J16" s="24" t="str">
        <x:v>否</x:v>
      </x:c>
      <x:c r="K16" s="24" t="str">
        <x:v>否</x:v>
      </x:c>
      <x:c r="L16" s="24" t="str"/>
      <x:c r="M16" s="28" t="n">
        <x:v>1</x:v>
      </x:c>
      <x:c r="N16" s="26" t="n">
        <x:v>143</x:v>
      </x:c>
      <x:c r="O16" s="26" t="n">
        <x:v>48</x:v>
      </x:c>
      <x:c r="P16" s="24" t="str">
        <x:v>是</x:v>
      </x:c>
      <x:c r="Q16" s="24" t="str">
        <x:v>K區</x:v>
      </x:c>
      <x:c r="R16" s="26" t="n">
        <x:v>30</x:v>
      </x:c>
      <x:c r="S16" s="24" t="str">
        <x:v>箱裝重物</x:v>
      </x:c>
    </x:row>
    <x:row r="17">
      <x:c r="A17" s="24" t="str">
        <x:v>PX0013</x:v>
      </x:c>
      <x:c r="B17" s="24" t="str">
        <x:v>沐浴乳</x:v>
      </x:c>
      <x:c r="C17" s="24" t="str">
        <x:v>日用品</x:v>
      </x:c>
      <x:c r="D17" s="24" t="str">
        <x:v>Cluster 1</x:v>
      </x:c>
      <x:c r="E17" s="26" t="n">
        <x:v>58</x:v>
      </x:c>
      <x:c r="F17" s="26" t="n">
        <x:v>36</x:v>
      </x:c>
      <x:c r="G17" s="24" t="str">
        <x:v>小</x:v>
      </x:c>
      <x:c r="H17" s="24" t="str">
        <x:v>中</x:v>
      </x:c>
      <x:c r="I17" s="24" t="str">
        <x:v>是</x:v>
      </x:c>
      <x:c r="J17" s="24" t="str">
        <x:v>否</x:v>
      </x:c>
      <x:c r="K17" s="24" t="str">
        <x:v>否</x:v>
      </x:c>
      <x:c r="L17" s="24" t="str"/>
      <x:c r="M17" s="28" t="n">
        <x:v>1.1</x:v>
      </x:c>
      <x:c r="N17" s="26" t="n">
        <x:v>267</x:v>
      </x:c>
      <x:c r="O17" s="26" t="n">
        <x:v>60</x:v>
      </x:c>
      <x:c r="P17" s="24" t="str">
        <x:v>是</x:v>
      </x:c>
      <x:c r="Q17" s="24" t="str">
        <x:v>1區</x:v>
      </x:c>
      <x:c r="R17" s="26" t="n">
        <x:v>28</x:v>
      </x:c>
      <x:c r="S17" s="24" t="str">
        <x:v>液體商品</x:v>
      </x:c>
    </x:row>
    <x:row r="18">
      <x:c r="A18" s="24" t="str">
        <x:v>PX0014</x:v>
      </x:c>
      <x:c r="B18" s="24" t="str">
        <x:v>洗髮精</x:v>
      </x:c>
      <x:c r="C18" s="24" t="str">
        <x:v>日用品</x:v>
      </x:c>
      <x:c r="D18" s="24" t="str">
        <x:v>Cluster 1</x:v>
      </x:c>
      <x:c r="E18" s="26" t="n">
        <x:v>52</x:v>
      </x:c>
      <x:c r="F18" s="26" t="n">
        <x:v>32</x:v>
      </x:c>
      <x:c r="G18" s="24" t="str">
        <x:v>小</x:v>
      </x:c>
      <x:c r="H18" s="24" t="str">
        <x:v>中</x:v>
      </x:c>
      <x:c r="I18" s="24" t="str">
        <x:v>是</x:v>
      </x:c>
      <x:c r="J18" s="24" t="str">
        <x:v>否</x:v>
      </x:c>
      <x:c r="K18" s="24" t="str">
        <x:v>否</x:v>
      </x:c>
      <x:c r="L18" s="24" t="str"/>
      <x:c r="M18" s="28" t="n">
        <x:v>1</x:v>
      </x:c>
      <x:c r="N18" s="26" t="n">
        <x:v>171</x:v>
      </x:c>
      <x:c r="O18" s="26" t="n">
        <x:v>60</x:v>
      </x:c>
      <x:c r="P18" s="24" t="str">
        <x:v>是</x:v>
      </x:c>
      <x:c r="Q18" s="24" t="str">
        <x:v>1區</x:v>
      </x:c>
      <x:c r="R18" s="26" t="n">
        <x:v>27</x:v>
      </x:c>
      <x:c r="S18" s="24" t="str">
        <x:v>液體商品</x:v>
      </x:c>
    </x:row>
    <x:row r="19">
      <x:c r="A19" s="24" t="str">
        <x:v>PX0015</x:v>
      </x:c>
      <x:c r="B19" s="24" t="str">
        <x:v>洗碗精</x:v>
      </x:c>
      <x:c r="C19" s="24" t="str">
        <x:v>清潔用品</x:v>
      </x:c>
      <x:c r="D19" s="24" t="str">
        <x:v>Cluster 1</x:v>
      </x:c>
      <x:c r="E19" s="26" t="n">
        <x:v>48</x:v>
      </x:c>
      <x:c r="F19" s="26" t="n">
        <x:v>30</x:v>
      </x:c>
      <x:c r="G19" s="24" t="str">
        <x:v>小</x:v>
      </x:c>
      <x:c r="H19" s="24" t="str">
        <x:v>中</x:v>
      </x:c>
      <x:c r="I19" s="24" t="str">
        <x:v>是</x:v>
      </x:c>
      <x:c r="J19" s="24" t="str">
        <x:v>否</x:v>
      </x:c>
      <x:c r="K19" s="24" t="str">
        <x:v>否</x:v>
      </x:c>
      <x:c r="L19" s="24" t="str"/>
      <x:c r="M19" s="28" t="n">
        <x:v>1.1</x:v>
      </x:c>
      <x:c r="N19" s="26" t="n">
        <x:v>232</x:v>
      </x:c>
      <x:c r="O19" s="26" t="n">
        <x:v>48</x:v>
      </x:c>
      <x:c r="P19" s="24" t="str">
        <x:v>是</x:v>
      </x:c>
      <x:c r="Q19" s="24" t="str">
        <x:v>A區</x:v>
      </x:c>
      <x:c r="R19" s="26" t="n">
        <x:v>25</x:v>
      </x:c>
      <x:c r="S19" s="24" t="str">
        <x:v>液體、清潔用品</x:v>
      </x:c>
    </x:row>
    <x:row r="20">
      <x:c r="A20" s="24" t="str">
        <x:v>PX0016</x:v>
      </x:c>
      <x:c r="B20" s="24" t="str">
        <x:v>牙膏組</x:v>
      </x:c>
      <x:c r="C20" s="24" t="str">
        <x:v>日用品</x:v>
      </x:c>
      <x:c r="D20" s="24" t="str">
        <x:v>Cluster 5</x:v>
      </x:c>
      <x:c r="E20" s="26" t="n">
        <x:v>42</x:v>
      </x:c>
      <x:c r="F20" s="26" t="n">
        <x:v>26</x:v>
      </x:c>
      <x:c r="G20" s="24" t="str">
        <x:v>小</x:v>
      </x:c>
      <x:c r="H20" s="24" t="str">
        <x:v>輕</x:v>
      </x:c>
      <x:c r="I20" s="24" t="str">
        <x:v>否</x:v>
      </x:c>
      <x:c r="J20" s="24" t="str">
        <x:v>否</x:v>
      </x:c>
      <x:c r="K20" s="24" t="str">
        <x:v>否</x:v>
      </x:c>
      <x:c r="L20" s="24" t="str"/>
      <x:c r="M20" s="28" t="n">
        <x:v>1</x:v>
      </x:c>
      <x:c r="N20" s="26" t="n">
        <x:v>207</x:v>
      </x:c>
      <x:c r="O20" s="26" t="str"/>
      <x:c r="P20" s="24" t="str">
        <x:v>否</x:v>
      </x:c>
      <x:c r="Q20" s="24" t="str">
        <x:v>A區</x:v>
      </x:c>
      <x:c r="R20" s="26" t="n">
        <x:v>22</x:v>
      </x:c>
      <x:c r="S20" s="24" t="str">
        <x:v>小品項</x:v>
      </x:c>
    </x:row>
    <x:row r="21">
      <x:c r="A21" s="24" t="str">
        <x:v>PX0017</x:v>
      </x:c>
      <x:c r="B21" s="24" t="str">
        <x:v>牙刷組</x:v>
      </x:c>
      <x:c r="C21" s="24" t="str">
        <x:v>日用品</x:v>
      </x:c>
      <x:c r="D21" s="24" t="str">
        <x:v>Cluster 5</x:v>
      </x:c>
      <x:c r="E21" s="26" t="n">
        <x:v>38</x:v>
      </x:c>
      <x:c r="F21" s="26" t="n">
        <x:v>24</x:v>
      </x:c>
      <x:c r="G21" s="24" t="str">
        <x:v>小</x:v>
      </x:c>
      <x:c r="H21" s="24" t="str">
        <x:v>輕</x:v>
      </x:c>
      <x:c r="I21" s="24" t="str">
        <x:v>否</x:v>
      </x:c>
      <x:c r="J21" s="24" t="str">
        <x:v>否</x:v>
      </x:c>
      <x:c r="K21" s="24" t="str">
        <x:v>否</x:v>
      </x:c>
      <x:c r="L21" s="24" t="str"/>
      <x:c r="M21" s="28" t="n">
        <x:v>1</x:v>
      </x:c>
      <x:c r="N21" s="26" t="n">
        <x:v>159</x:v>
      </x:c>
      <x:c r="O21" s="26" t="str"/>
      <x:c r="P21" s="24" t="str">
        <x:v>否</x:v>
      </x:c>
      <x:c r="Q21" s="24" t="str">
        <x:v>1區</x:v>
      </x:c>
      <x:c r="R21" s="26" t="n">
        <x:v>20</x:v>
      </x:c>
      <x:c r="S21" s="24" t="str">
        <x:v>小品項</x:v>
      </x:c>
    </x:row>
    <x:row r="22">
      <x:c r="A22" s="24" t="str">
        <x:v>PX0018</x:v>
      </x:c>
      <x:c r="B22" s="24" t="str">
        <x:v>垃圾袋</x:v>
      </x:c>
      <x:c r="C22" s="24" t="str">
        <x:v>日用品</x:v>
      </x:c>
      <x:c r="D22" s="24" t="str">
        <x:v>Cluster 5</x:v>
      </x:c>
      <x:c r="E22" s="26" t="n">
        <x:v>34</x:v>
      </x:c>
      <x:c r="F22" s="26" t="n">
        <x:v>22</x:v>
      </x:c>
      <x:c r="G22" s="24" t="str">
        <x:v>小</x:v>
      </x:c>
      <x:c r="H22" s="24" t="str">
        <x:v>輕</x:v>
      </x:c>
      <x:c r="I22" s="24" t="str">
        <x:v>否</x:v>
      </x:c>
      <x:c r="J22" s="24" t="str">
        <x:v>否</x:v>
      </x:c>
      <x:c r="K22" s="24" t="str">
        <x:v>否</x:v>
      </x:c>
      <x:c r="L22" s="24" t="str"/>
      <x:c r="M22" s="28" t="n">
        <x:v>1</x:v>
      </x:c>
      <x:c r="N22" s="26" t="n">
        <x:v>122</x:v>
      </x:c>
      <x:c r="O22" s="26" t="str"/>
      <x:c r="P22" s="24" t="str">
        <x:v>否</x:v>
      </x:c>
      <x:c r="Q22" s="24" t="str">
        <x:v>1區</x:v>
      </x:c>
      <x:c r="R22" s="26" t="n">
        <x:v>18</x:v>
      </x:c>
      <x:c r="S22" s="24" t="str">
        <x:v>低重量</x:v>
      </x:c>
    </x:row>
    <x:row r="23">
      <x:c r="A23" s="24" t="str">
        <x:v>PX0019</x:v>
      </x:c>
      <x:c r="B23" s="24" t="str">
        <x:v>調味醬油</x:v>
      </x:c>
      <x:c r="C23" s="24" t="str">
        <x:v>食品類</x:v>
      </x:c>
      <x:c r="D23" s="24" t="str">
        <x:v>Cluster 1</x:v>
      </x:c>
      <x:c r="E23" s="26" t="n">
        <x:v>30</x:v>
      </x:c>
      <x:c r="F23" s="26" t="n">
        <x:v>20</x:v>
      </x:c>
      <x:c r="G23" s="24" t="str">
        <x:v>小</x:v>
      </x:c>
      <x:c r="H23" s="24" t="str">
        <x:v>中</x:v>
      </x:c>
      <x:c r="I23" s="24" t="str">
        <x:v>是</x:v>
      </x:c>
      <x:c r="J23" s="24" t="str">
        <x:v>是</x:v>
      </x:c>
      <x:c r="K23" s="24" t="str">
        <x:v>否</x:v>
      </x:c>
      <x:c r="L23" s="24" t="str"/>
      <x:c r="M23" s="28" t="n">
        <x:v>1.1</x:v>
      </x:c>
      <x:c r="N23" s="26" t="n">
        <x:v>133</x:v>
      </x:c>
      <x:c r="O23" s="26" t="n">
        <x:v>80</x:v>
      </x:c>
      <x:c r="P23" s="24" t="str">
        <x:v>是</x:v>
      </x:c>
      <x:c r="Q23" s="24" t="str">
        <x:v>K區</x:v>
      </x:c>
      <x:c r="R23" s="26" t="n">
        <x:v>45</x:v>
      </x:c>
      <x:c r="S23" s="24" t="str">
        <x:v>液體、易破</x:v>
      </x:c>
    </x:row>
    <x:row r="24">
      <x:c r="A24" s="24" t="str">
        <x:v>PX0020</x:v>
      </x:c>
      <x:c r="B24" s="24" t="str">
        <x:v>食用油</x:v>
      </x:c>
      <x:c r="C24" s="24" t="str">
        <x:v>食品類</x:v>
      </x:c>
      <x:c r="D24" s="24" t="str">
        <x:v>Cluster 1</x:v>
      </x:c>
      <x:c r="E24" s="26" t="n">
        <x:v>28</x:v>
      </x:c>
      <x:c r="F24" s="26" t="n">
        <x:v>18</x:v>
      </x:c>
      <x:c r="G24" s="24" t="str">
        <x:v>中</x:v>
      </x:c>
      <x:c r="H24" s="24" t="str">
        <x:v>重</x:v>
      </x:c>
      <x:c r="I24" s="24" t="str">
        <x:v>是</x:v>
      </x:c>
      <x:c r="J24" s="24" t="str">
        <x:v>是</x:v>
      </x:c>
      <x:c r="K24" s="24" t="str">
        <x:v>否</x:v>
      </x:c>
      <x:c r="L24" s="24" t="str"/>
      <x:c r="M24" s="28" t="n">
        <x:v>1</x:v>
      </x:c>
      <x:c r="N24" s="26" t="n">
        <x:v>76</x:v>
      </x:c>
      <x:c r="O24" s="26" t="n">
        <x:v>32</x:v>
      </x:c>
      <x:c r="P24" s="24" t="str">
        <x:v>是</x:v>
      </x:c>
      <x:c r="Q24" s="24" t="str">
        <x:v>K區</x:v>
      </x:c>
      <x:c r="R24" s="26" t="n">
        <x:v>48</x:v>
      </x:c>
      <x:c r="S24" s="24" t="str">
        <x:v>液體、重物</x:v>
      </x:c>
    </x:row>
    <x:row r="25">
      <x:c r="A25" s="24" t="str">
        <x:v>PX0021</x:v>
      </x:c>
      <x:c r="B25" s="24" t="str">
        <x:v>季節禮盒</x:v>
      </x:c>
      <x:c r="C25" s="24" t="str">
        <x:v>季節商品</x:v>
      </x:c>
      <x:c r="D25" s="24" t="str">
        <x:v>Cluster 4</x:v>
      </x:c>
      <x:c r="E25" s="26" t="n">
        <x:v>22</x:v>
      </x:c>
      <x:c r="F25" s="26" t="n">
        <x:v>14</x:v>
      </x:c>
      <x:c r="G25" s="24" t="str">
        <x:v>大</x:v>
      </x:c>
      <x:c r="H25" s="24" t="str">
        <x:v>中</x:v>
      </x:c>
      <x:c r="I25" s="24" t="str">
        <x:v>否</x:v>
      </x:c>
      <x:c r="J25" s="24" t="str">
        <x:v>是</x:v>
      </x:c>
      <x:c r="K25" s="24" t="str">
        <x:v>是</x:v>
      </x:c>
      <x:c r="L25" s="24" t="str">
        <x:v>1-2月</x:v>
      </x:c>
      <x:c r="M25" s="28" t="n">
        <x:v>3</x:v>
      </x:c>
      <x:c r="N25" s="26" t="n">
        <x:v>106</x:v>
      </x:c>
      <x:c r="O25" s="26" t="n">
        <x:v>20</x:v>
      </x:c>
      <x:c r="P25" s="24" t="str">
        <x:v>是</x:v>
      </x:c>
      <x:c r="Q25" s="24" t="str">
        <x:v>A區</x:v>
      </x:c>
      <x:c r="R25" s="26" t="n">
        <x:v>50</x:v>
      </x:c>
      <x:c r="S25" s="24" t="str">
        <x:v>季節性、易壓</x:v>
      </x:c>
    </x:row>
    <x:row r="26">
      <x:c r="A26" s="24" t="str">
        <x:v>PX0022</x:v>
      </x:c>
      <x:c r="B26" s="24" t="str">
        <x:v>防蚊用品</x:v>
      </x:c>
      <x:c r="C26" s="24" t="str">
        <x:v>季節商品</x:v>
      </x:c>
      <x:c r="D26" s="24" t="str">
        <x:v>Cluster 4</x:v>
      </x:c>
      <x:c r="E26" s="26" t="n">
        <x:v>18</x:v>
      </x:c>
      <x:c r="F26" s="26" t="n">
        <x:v>12</x:v>
      </x:c>
      <x:c r="G26" s="24" t="str">
        <x:v>小</x:v>
      </x:c>
      <x:c r="H26" s="24" t="str">
        <x:v>輕</x:v>
      </x:c>
      <x:c r="I26" s="24" t="str">
        <x:v>否</x:v>
      </x:c>
      <x:c r="J26" s="24" t="str">
        <x:v>否</x:v>
      </x:c>
      <x:c r="K26" s="24" t="str">
        <x:v>是</x:v>
      </x:c>
      <x:c r="L26" s="24" t="str">
        <x:v>5-8月</x:v>
      </x:c>
      <x:c r="M26" s="28" t="n">
        <x:v>2.5</x:v>
      </x:c>
      <x:c r="N26" s="26" t="n">
        <x:v>51</x:v>
      </x:c>
      <x:c r="O26" s="26" t="str"/>
      <x:c r="P26" s="24" t="str">
        <x:v>否</x:v>
      </x:c>
      <x:c r="Q26" s="24" t="str">
        <x:v>1區</x:v>
      </x:c>
      <x:c r="R26" s="26" t="n">
        <x:v>52</x:v>
      </x:c>
      <x:c r="S26" s="24" t="str">
        <x:v>季節性</x:v>
      </x:c>
    </x:row>
    <x:row r="27">
      <x:c r="A27" s="24" t="str">
        <x:v>PX0023</x:v>
      </x:c>
      <x:c r="B27" s="24" t="str">
        <x:v>保鮮盒</x:v>
      </x:c>
      <x:c r="C27" s="24" t="str">
        <x:v>家用品</x:v>
      </x:c>
      <x:c r="D27" s="24" t="str">
        <x:v>Cluster 5</x:v>
      </x:c>
      <x:c r="E27" s="26" t="n">
        <x:v>15</x:v>
      </x:c>
      <x:c r="F27" s="26" t="n">
        <x:v>10</x:v>
      </x:c>
      <x:c r="G27" s="24" t="str">
        <x:v>中</x:v>
      </x:c>
      <x:c r="H27" s="24" t="str">
        <x:v>輕</x:v>
      </x:c>
      <x:c r="I27" s="24" t="str">
        <x:v>否</x:v>
      </x:c>
      <x:c r="J27" s="24" t="str">
        <x:v>否</x:v>
      </x:c>
      <x:c r="K27" s="24" t="str">
        <x:v>否</x:v>
      </x:c>
      <x:c r="L27" s="24" t="str"/>
      <x:c r="M27" s="28" t="n">
        <x:v>1</x:v>
      </x:c>
      <x:c r="N27" s="26" t="n">
        <x:v>51</x:v>
      </x:c>
      <x:c r="O27" s="26" t="str"/>
      <x:c r="P27" s="24" t="str">
        <x:v>否</x:v>
      </x:c>
      <x:c r="Q27" s="24" t="str">
        <x:v>A區</x:v>
      </x:c>
      <x:c r="R27" s="26" t="n">
        <x:v>55</x:v>
      </x:c>
      <x:c r="S27" s="24" t="str">
        <x:v>低頻</x:v>
      </x:c>
    </x:row>
    <x:row r="28">
      <x:c r="A28" s="24" t="str">
        <x:v>PX0024</x:v>
      </x:c>
      <x:c r="B28" s="24" t="str">
        <x:v>收納箱</x:v>
      </x:c>
      <x:c r="C28" s="24" t="str">
        <x:v>家用品</x:v>
      </x:c>
      <x:c r="D28" s="24" t="str">
        <x:v>Cluster 2</x:v>
      </x:c>
      <x:c r="E28" s="26" t="n">
        <x:v>12</x:v>
      </x:c>
      <x:c r="F28" s="26" t="n">
        <x:v>8</x:v>
      </x:c>
      <x:c r="G28" s="24" t="str">
        <x:v>大</x:v>
      </x:c>
      <x:c r="H28" s="24" t="str">
        <x:v>輕</x:v>
      </x:c>
      <x:c r="I28" s="24" t="str">
        <x:v>否</x:v>
      </x:c>
      <x:c r="J28" s="24" t="str">
        <x:v>否</x:v>
      </x:c>
      <x:c r="K28" s="24" t="str">
        <x:v>否</x:v>
      </x:c>
      <x:c r="L28" s="24" t="str"/>
      <x:c r="M28" s="28" t="n">
        <x:v>1</x:v>
      </x:c>
      <x:c r="N28" s="26" t="n">
        <x:v>49</x:v>
      </x:c>
      <x:c r="O28" s="26" t="n">
        <x:v>18</x:v>
      </x:c>
      <x:c r="P28" s="24" t="str">
        <x:v>是</x:v>
      </x:c>
      <x:c r="Q28" s="24" t="str">
        <x:v>A區</x:v>
      </x:c>
      <x:c r="R28" s="26" t="n">
        <x:v>58</x:v>
      </x:c>
      <x:c r="S28" s="24" t="str">
        <x:v>低頻、占空間</x:v>
      </x:c>
    </x:row>
    <x:row r="29">
      <x:c r="A29" s="24" t="str">
        <x:v>PX0025</x:v>
      </x:c>
      <x:c r="B29" s="24" t="str">
        <x:v>備用耗材</x:v>
      </x:c>
      <x:c r="C29" s="24" t="str">
        <x:v>耗材類</x:v>
      </x:c>
      <x:c r="D29" s="24" t="str">
        <x:v>Cluster 5</x:v>
      </x:c>
      <x:c r="E29" s="26" t="n">
        <x:v>8</x:v>
      </x:c>
      <x:c r="F29" s="26" t="n">
        <x:v>5</x:v>
      </x:c>
      <x:c r="G29" s="24" t="str">
        <x:v>小</x:v>
      </x:c>
      <x:c r="H29" s="24" t="str">
        <x:v>輕</x:v>
      </x:c>
      <x:c r="I29" s="24" t="str">
        <x:v>否</x:v>
      </x:c>
      <x:c r="J29" s="24" t="str">
        <x:v>否</x:v>
      </x:c>
      <x:c r="K29" s="24" t="str">
        <x:v>否</x:v>
      </x:c>
      <x:c r="L29" s="24" t="str"/>
      <x:c r="M29" s="28" t="n">
        <x:v>1</x:v>
      </x:c>
      <x:c r="N29" s="26" t="n">
        <x:v>27</x:v>
      </x:c>
      <x:c r="O29" s="26" t="str"/>
      <x:c r="P29" s="24" t="str">
        <x:v>否</x:v>
      </x:c>
      <x:c r="Q29" s="24" t="str">
        <x:v>K區</x:v>
      </x:c>
      <x:c r="R29" s="26" t="n">
        <x:v>60</x:v>
      </x:c>
      <x:c r="S29" s="24" t="str">
        <x:v>低頻、備品</x:v>
      </x:c>
    </x:row>
    <x:row r="30">
      <x:c r="A30" s="24" t="str">
        <x:v>PX0026</x:v>
      </x:c>
      <x:c r="B30" s="24" t="str">
        <x:v>尿布箱</x:v>
      </x:c>
      <x:c r="C30" s="24" t="str">
        <x:v>日用品</x:v>
      </x:c>
      <x:c r="D30" s="24" t="str">
        <x:v>Cluster 2</x:v>
      </x:c>
      <x:c r="E30" s="26" t="n">
        <x:v>105</x:v>
      </x:c>
      <x:c r="F30" s="26" t="n">
        <x:v>60</x:v>
      </x:c>
      <x:c r="G30" s="24" t="str">
        <x:v>大</x:v>
      </x:c>
      <x:c r="H30" s="24" t="str">
        <x:v>中</x:v>
      </x:c>
      <x:c r="I30" s="24" t="str">
        <x:v>否</x:v>
      </x:c>
      <x:c r="J30" s="24" t="str">
        <x:v>否</x:v>
      </x:c>
      <x:c r="K30" s="24" t="str">
        <x:v>否</x:v>
      </x:c>
      <x:c r="L30" s="24" t="str"/>
      <x:c r="M30" s="28" t="n">
        <x:v>1.1</x:v>
      </x:c>
      <x:c r="N30" s="26" t="n">
        <x:v>337</x:v>
      </x:c>
      <x:c r="O30" s="26" t="n">
        <x:v>24</x:v>
      </x:c>
      <x:c r="P30" s="24" t="str">
        <x:v>是</x:v>
      </x:c>
      <x:c r="Q30" s="24" t="str">
        <x:v>A區</x:v>
      </x:c>
      <x:c r="R30" s="26" t="n">
        <x:v>44</x:v>
      </x:c>
      <x:c r="S30" s="24" t="str">
        <x:v>高頻、體積大</x:v>
      </x:c>
    </x:row>
    <x:row r="31">
      <x:c r="A31" s="24" t="str">
        <x:v>PX0027</x:v>
      </x:c>
      <x:c r="B31" s="24" t="str">
        <x:v>咖啡罐裝整箱</x:v>
      </x:c>
      <x:c r="C31" s="24" t="str">
        <x:v>飲品類</x:v>
      </x:c>
      <x:c r="D31" s="24" t="str">
        <x:v>Cluster 2</x:v>
      </x:c>
      <x:c r="E31" s="26" t="n">
        <x:v>90</x:v>
      </x:c>
      <x:c r="F31" s="26" t="n">
        <x:v>52</x:v>
      </x:c>
      <x:c r="G31" s="24" t="str">
        <x:v>中</x:v>
      </x:c>
      <x:c r="H31" s="24" t="str">
        <x:v>重</x:v>
      </x:c>
      <x:c r="I31" s="24" t="str">
        <x:v>是</x:v>
      </x:c>
      <x:c r="J31" s="24" t="str">
        <x:v>否</x:v>
      </x:c>
      <x:c r="K31" s="24" t="str">
        <x:v>否</x:v>
      </x:c>
      <x:c r="L31" s="24" t="str"/>
      <x:c r="M31" s="28" t="n">
        <x:v>1.1</x:v>
      </x:c>
      <x:c r="N31" s="26" t="n">
        <x:v>305</x:v>
      </x:c>
      <x:c r="O31" s="26" t="n">
        <x:v>32</x:v>
      </x:c>
      <x:c r="P31" s="24" t="str">
        <x:v>是</x:v>
      </x:c>
      <x:c r="Q31" s="24" t="str">
        <x:v>K區</x:v>
      </x:c>
      <x:c r="R31" s="26" t="n">
        <x:v>46</x:v>
      </x:c>
      <x:c r="S31" s="24" t="str">
        <x:v>高頻、液體、重物</x:v>
      </x:c>
    </x:row>
    <x:row r="32">
      <x:c r="A32" s="24" t="str">
        <x:v>PX0028</x:v>
      </x:c>
      <x:c r="B32" s="24" t="str">
        <x:v>麥片箱</x:v>
      </x:c>
      <x:c r="C32" s="24" t="str">
        <x:v>食品類</x:v>
      </x:c>
      <x:c r="D32" s="24" t="str">
        <x:v>Cluster 5</x:v>
      </x:c>
      <x:c r="E32" s="26" t="n">
        <x:v>82</x:v>
      </x:c>
      <x:c r="F32" s="26" t="n">
        <x:v>48</x:v>
      </x:c>
      <x:c r="G32" s="24" t="str">
        <x:v>中</x:v>
      </x:c>
      <x:c r="H32" s="24" t="str">
        <x:v>輕</x:v>
      </x:c>
      <x:c r="I32" s="24" t="str">
        <x:v>否</x:v>
      </x:c>
      <x:c r="J32" s="24" t="str">
        <x:v>否</x:v>
      </x:c>
      <x:c r="K32" s="24" t="str">
        <x:v>否</x:v>
      </x:c>
      <x:c r="L32" s="24" t="str"/>
      <x:c r="M32" s="28" t="n">
        <x:v>1.1</x:v>
      </x:c>
      <x:c r="N32" s="26" t="n">
        <x:v>181</x:v>
      </x:c>
      <x:c r="O32" s="26" t="n">
        <x:v>72</x:v>
      </x:c>
      <x:c r="P32" s="24" t="str">
        <x:v>是</x:v>
      </x:c>
      <x:c r="Q32" s="24" t="str">
        <x:v>1區</x:v>
      </x:c>
      <x:c r="R32" s="26" t="n">
        <x:v>33</x:v>
      </x:c>
      <x:c r="S32" s="24" t="str">
        <x:v>中高頻、輕量</x:v>
      </x:c>
    </x:row>
    <x:row r="33">
      <x:c r="A33" s="24" t="str">
        <x:v>PX0029</x:v>
      </x:c>
      <x:c r="B33" s="24" t="str">
        <x:v>寵物飼料5kg</x:v>
      </x:c>
      <x:c r="C33" s="24" t="str">
        <x:v>寵物用品</x:v>
      </x:c>
      <x:c r="D33" s="24" t="str">
        <x:v>Cluster 2</x:v>
      </x:c>
      <x:c r="E33" s="26" t="n">
        <x:v>75</x:v>
      </x:c>
      <x:c r="F33" s="26" t="n">
        <x:v>44</x:v>
      </x:c>
      <x:c r="G33" s="24" t="str">
        <x:v>中</x:v>
      </x:c>
      <x:c r="H33" s="24" t="str">
        <x:v>重</x:v>
      </x:c>
      <x:c r="I33" s="24" t="str">
        <x:v>否</x:v>
      </x:c>
      <x:c r="J33" s="24" t="str">
        <x:v>否</x:v>
      </x:c>
      <x:c r="K33" s="24" t="str">
        <x:v>否</x:v>
      </x:c>
      <x:c r="L33" s="24" t="str"/>
      <x:c r="M33" s="28" t="n">
        <x:v>1.1</x:v>
      </x:c>
      <x:c r="N33" s="26" t="n">
        <x:v>157</x:v>
      </x:c>
      <x:c r="O33" s="26" t="n">
        <x:v>48</x:v>
      </x:c>
      <x:c r="P33" s="24" t="str">
        <x:v>是</x:v>
      </x:c>
      <x:c r="Q33" s="24" t="str">
        <x:v>K區</x:v>
      </x:c>
      <x:c r="R33" s="26" t="n">
        <x:v>49</x:v>
      </x:c>
      <x:c r="S33" s="24" t="str">
        <x:v>中高頻、重物</x:v>
      </x:c>
    </x:row>
    <x:row r="34">
      <x:c r="A34" s="24" t="str">
        <x:v>PX0030</x:v>
      </x:c>
      <x:c r="B34" s="24" t="str">
        <x:v>衛生棉組</x:v>
      </x:c>
      <x:c r="C34" s="24" t="str">
        <x:v>日用品</x:v>
      </x:c>
      <x:c r="D34" s="24" t="str">
        <x:v>Cluster 5</x:v>
      </x:c>
      <x:c r="E34" s="26" t="n">
        <x:v>68</x:v>
      </x:c>
      <x:c r="F34" s="26" t="n">
        <x:v>40</x:v>
      </x:c>
      <x:c r="G34" s="24" t="str">
        <x:v>小</x:v>
      </x:c>
      <x:c r="H34" s="24" t="str">
        <x:v>輕</x:v>
      </x:c>
      <x:c r="I34" s="24" t="str">
        <x:v>否</x:v>
      </x:c>
      <x:c r="J34" s="24" t="str">
        <x:v>否</x:v>
      </x:c>
      <x:c r="K34" s="24" t="str">
        <x:v>否</x:v>
      </x:c>
      <x:c r="L34" s="24" t="str"/>
      <x:c r="M34" s="28" t="n">
        <x:v>1</x:v>
      </x:c>
      <x:c r="N34" s="26" t="n">
        <x:v>278</x:v>
      </x:c>
      <x:c r="O34" s="26" t="n">
        <x:v>60</x:v>
      </x:c>
      <x:c r="P34" s="24" t="str">
        <x:v>是</x:v>
      </x:c>
      <x:c r="Q34" s="24" t="str">
        <x:v>A區</x:v>
      </x:c>
      <x:c r="R34" s="26" t="n">
        <x:v>24</x:v>
      </x:c>
      <x:c r="S34" s="24" t="str">
        <x:v>中高頻、小品項</x:v>
      </x:c>
    </x:row>
    <x:row r="35">
      <x:c r="A35" s="24" t="str">
        <x:v>PX0031</x:v>
      </x:c>
      <x:c r="B35" s="24" t="str">
        <x:v>漂白水</x:v>
      </x:c>
      <x:c r="C35" s="24" t="str">
        <x:v>清潔用品</x:v>
      </x:c>
      <x:c r="D35" s="24" t="str">
        <x:v>Cluster 1</x:v>
      </x:c>
      <x:c r="E35" s="26" t="n">
        <x:v>62</x:v>
      </x:c>
      <x:c r="F35" s="26" t="n">
        <x:v>38</x:v>
      </x:c>
      <x:c r="G35" s="24" t="str">
        <x:v>小</x:v>
      </x:c>
      <x:c r="H35" s="24" t="str">
        <x:v>中</x:v>
      </x:c>
      <x:c r="I35" s="24" t="str">
        <x:v>是</x:v>
      </x:c>
      <x:c r="J35" s="24" t="str">
        <x:v>是</x:v>
      </x:c>
      <x:c r="K35" s="24" t="str">
        <x:v>否</x:v>
      </x:c>
      <x:c r="L35" s="24" t="str"/>
      <x:c r="M35" s="28" t="n">
        <x:v>1.5</x:v>
      </x:c>
      <x:c r="N35" s="26" t="n">
        <x:v>139</x:v>
      </x:c>
      <x:c r="O35" s="26" t="n">
        <x:v>72</x:v>
      </x:c>
      <x:c r="P35" s="24" t="str">
        <x:v>是</x:v>
      </x:c>
      <x:c r="Q35" s="24" t="str">
        <x:v>K區</x:v>
      </x:c>
      <x:c r="R35" s="26" t="n">
        <x:v>47</x:v>
      </x:c>
      <x:c r="S35" s="24" t="str">
        <x:v>液體、需低層</x:v>
      </x:c>
    </x:row>
    <x:row r="36">
      <x:c r="A36" s="24" t="str">
        <x:v>PX0032</x:v>
      </x:c>
      <x:c r="B36" s="24" t="str">
        <x:v>碳酸飲料整箱</x:v>
      </x:c>
      <x:c r="C36" s="24" t="str">
        <x:v>飲品類</x:v>
      </x:c>
      <x:c r="D36" s="24" t="str">
        <x:v>Cluster 3</x:v>
      </x:c>
      <x:c r="E36" s="26" t="n">
        <x:v>98</x:v>
      </x:c>
      <x:c r="F36" s="26" t="n">
        <x:v>57</x:v>
      </x:c>
      <x:c r="G36" s="24" t="str">
        <x:v>中</x:v>
      </x:c>
      <x:c r="H36" s="24" t="str">
        <x:v>重</x:v>
      </x:c>
      <x:c r="I36" s="24" t="str">
        <x:v>是</x:v>
      </x:c>
      <x:c r="J36" s="24" t="str">
        <x:v>否</x:v>
      </x:c>
      <x:c r="K36" s="24" t="str">
        <x:v>否</x:v>
      </x:c>
      <x:c r="L36" s="24" t="str"/>
      <x:c r="M36" s="28" t="n">
        <x:v>1.5</x:v>
      </x:c>
      <x:c r="N36" s="26" t="n">
        <x:v>470</x:v>
      </x:c>
      <x:c r="O36" s="26" t="n">
        <x:v>40</x:v>
      </x:c>
      <x:c r="P36" s="24" t="str">
        <x:v>是</x:v>
      </x:c>
      <x:c r="Q36" s="24" t="str">
        <x:v>K區</x:v>
      </x:c>
      <x:c r="R36" s="26" t="n">
        <x:v>53</x:v>
      </x:c>
      <x:c r="S36" s="24" t="str">
        <x:v>高頻、整箱重</x:v>
      </x:c>
    </x:row>
    <x:row r="37">
      <x:c r="A37" s="24" t="str">
        <x:v>PX0033</x:v>
      </x:c>
      <x:c r="B37" s="24" t="str">
        <x:v>冷泡茶包</x:v>
      </x:c>
      <x:c r="C37" s="24" t="str">
        <x:v>食品類</x:v>
      </x:c>
      <x:c r="D37" s="24" t="str">
        <x:v>Cluster 5</x:v>
      </x:c>
      <x:c r="E37" s="26" t="n">
        <x:v>44</x:v>
      </x:c>
      <x:c r="F37" s="26" t="n">
        <x:v>28</x:v>
      </x:c>
      <x:c r="G37" s="24" t="str">
        <x:v>小</x:v>
      </x:c>
      <x:c r="H37" s="24" t="str">
        <x:v>輕</x:v>
      </x:c>
      <x:c r="I37" s="24" t="str">
        <x:v>否</x:v>
      </x:c>
      <x:c r="J37" s="24" t="str">
        <x:v>否</x:v>
      </x:c>
      <x:c r="K37" s="24" t="str">
        <x:v>否</x:v>
      </x:c>
      <x:c r="L37" s="24" t="str"/>
      <x:c r="M37" s="28" t="n">
        <x:v>1</x:v>
      </x:c>
      <x:c r="N37" s="26" t="n">
        <x:v>102</x:v>
      </x:c>
      <x:c r="O37" s="26" t="str"/>
      <x:c r="P37" s="24" t="str">
        <x:v>否</x:v>
      </x:c>
      <x:c r="Q37" s="24" t="str">
        <x:v>1區</x:v>
      </x:c>
      <x:c r="R37" s="26" t="n">
        <x:v>29</x:v>
      </x:c>
      <x:c r="S37" s="24" t="str">
        <x:v>中頻、小品項</x:v>
      </x:c>
    </x:row>
    <x:row r="38">
      <x:c r="A38" s="24" t="str">
        <x:v>PX0034</x:v>
      </x:c>
      <x:c r="B38" s="24" t="str">
        <x:v>成人紙尿褲</x:v>
      </x:c>
      <x:c r="C38" s="24" t="str">
        <x:v>日用品</x:v>
      </x:c>
      <x:c r="D38" s="24" t="str">
        <x:v>Cluster 2</x:v>
      </x:c>
      <x:c r="E38" s="26" t="n">
        <x:v>60</x:v>
      </x:c>
      <x:c r="F38" s="26" t="n">
        <x:v>34</x:v>
      </x:c>
      <x:c r="G38" s="24" t="str">
        <x:v>大</x:v>
      </x:c>
      <x:c r="H38" s="24" t="str">
        <x:v>中</x:v>
      </x:c>
      <x:c r="I38" s="24" t="str">
        <x:v>否</x:v>
      </x:c>
      <x:c r="J38" s="24" t="str">
        <x:v>否</x:v>
      </x:c>
      <x:c r="K38" s="24" t="str">
        <x:v>否</x:v>
      </x:c>
      <x:c r="L38" s="24" t="str"/>
      <x:c r="M38" s="28" t="n">
        <x:v>1</x:v>
      </x:c>
      <x:c r="N38" s="26" t="n">
        <x:v>231</x:v>
      </x:c>
      <x:c r="O38" s="26" t="n">
        <x:v>24</x:v>
      </x:c>
      <x:c r="P38" s="24" t="str">
        <x:v>是</x:v>
      </x:c>
      <x:c r="Q38" s="24" t="str">
        <x:v>A區</x:v>
      </x:c>
      <x:c r="R38" s="26" t="n">
        <x:v>43</x:v>
      </x:c>
      <x:c r="S38" s="24" t="str">
        <x:v>中頻、體積大</x:v>
      </x:c>
    </x:row>
    <x:row r="39">
      <x:c r="A39" s="24" t="str">
        <x:v>PX0035</x:v>
      </x:c>
      <x:c r="B39" s="24" t="str">
        <x:v>玻璃瓶醬料</x:v>
      </x:c>
      <x:c r="C39" s="24" t="str">
        <x:v>食品類</x:v>
      </x:c>
      <x:c r="D39" s="24" t="str">
        <x:v>Cluster 1</x:v>
      </x:c>
      <x:c r="E39" s="26" t="n">
        <x:v>36</x:v>
      </x:c>
      <x:c r="F39" s="26" t="n">
        <x:v>24</x:v>
      </x:c>
      <x:c r="G39" s="24" t="str">
        <x:v>小</x:v>
      </x:c>
      <x:c r="H39" s="24" t="str">
        <x:v>中</x:v>
      </x:c>
      <x:c r="I39" s="24" t="str">
        <x:v>是</x:v>
      </x:c>
      <x:c r="J39" s="24" t="str">
        <x:v>是</x:v>
      </x:c>
      <x:c r="K39" s="24" t="str">
        <x:v>否</x:v>
      </x:c>
      <x:c r="L39" s="24" t="str"/>
      <x:c r="M39" s="28" t="n">
        <x:v>1</x:v>
      </x:c>
      <x:c r="N39" s="26" t="n">
        <x:v>90</x:v>
      </x:c>
      <x:c r="O39" s="26" t="n">
        <x:v>48</x:v>
      </x:c>
      <x:c r="P39" s="24" t="str">
        <x:v>是</x:v>
      </x:c>
      <x:c r="Q39" s="24" t="str">
        <x:v>K區</x:v>
      </x:c>
      <x:c r="R39" s="26" t="n">
        <x:v>41</x:v>
      </x:c>
      <x:c r="S39" s="24" t="str">
        <x:v>液體、易碎</x:v>
      </x:c>
    </x:row>
    <x:row r="40">
      <x:c r="A40" s="24" t="str">
        <x:v>PX0036</x:v>
      </x:c>
      <x:c r="B40" s="24" t="str">
        <x:v>洗衣粉箱</x:v>
      </x:c>
      <x:c r="C40" s="24" t="str">
        <x:v>清潔用品</x:v>
      </x:c>
      <x:c r="D40" s="24" t="str">
        <x:v>Cluster 5</x:v>
      </x:c>
      <x:c r="E40" s="26" t="n">
        <x:v>55</x:v>
      </x:c>
      <x:c r="F40" s="26" t="n">
        <x:v>35</x:v>
      </x:c>
      <x:c r="G40" s="24" t="str">
        <x:v>中</x:v>
      </x:c>
      <x:c r="H40" s="24" t="str">
        <x:v>中</x:v>
      </x:c>
      <x:c r="I40" s="24" t="str">
        <x:v>否</x:v>
      </x:c>
      <x:c r="J40" s="24" t="str">
        <x:v>否</x:v>
      </x:c>
      <x:c r="K40" s="24" t="str">
        <x:v>否</x:v>
      </x:c>
      <x:c r="L40" s="24" t="str"/>
      <x:c r="M40" s="28" t="n">
        <x:v>1.1</x:v>
      </x:c>
      <x:c r="N40" s="26" t="n">
        <x:v>227</x:v>
      </x:c>
      <x:c r="O40" s="26" t="n">
        <x:v>60</x:v>
      </x:c>
      <x:c r="P40" s="24" t="str">
        <x:v>是</x:v>
      </x:c>
      <x:c r="Q40" s="24" t="str">
        <x:v>3區</x:v>
      </x:c>
      <x:c r="R40" s="26" t="n">
        <x:v>37</x:v>
      </x:c>
      <x:c r="S40" s="24" t="str">
        <x:v>中頻、補貨品</x:v>
      </x:c>
    </x:row>
    <x:row r="41">
      <x:c r="A41" s="24" t="str">
        <x:v>PX0037</x:v>
      </x:c>
      <x:c r="B41" s="24" t="str">
        <x:v>蛋捲禮盒</x:v>
      </x:c>
      <x:c r="C41" s="24" t="str">
        <x:v>季節商品</x:v>
      </x:c>
      <x:c r="D41" s="24" t="str">
        <x:v>Cluster 4</x:v>
      </x:c>
      <x:c r="E41" s="26" t="n">
        <x:v>20</x:v>
      </x:c>
      <x:c r="F41" s="26" t="n">
        <x:v>13</x:v>
      </x:c>
      <x:c r="G41" s="24" t="str">
        <x:v>中</x:v>
      </x:c>
      <x:c r="H41" s="24" t="str">
        <x:v>輕</x:v>
      </x:c>
      <x:c r="I41" s="24" t="str">
        <x:v>否</x:v>
      </x:c>
      <x:c r="J41" s="24" t="str">
        <x:v>是</x:v>
      </x:c>
      <x:c r="K41" s="24" t="str">
        <x:v>是</x:v>
      </x:c>
      <x:c r="L41" s="24" t="str">
        <x:v>1-2月</x:v>
      </x:c>
      <x:c r="M41" s="28" t="n">
        <x:v>2</x:v>
      </x:c>
      <x:c r="N41" s="26" t="n">
        <x:v>98</x:v>
      </x:c>
      <x:c r="O41" s="26" t="str"/>
      <x:c r="P41" s="24" t="str">
        <x:v>否</x:v>
      </x:c>
      <x:c r="Q41" s="24" t="str">
        <x:v>A區</x:v>
      </x:c>
      <x:c r="R41" s="26" t="n">
        <x:v>56</x:v>
      </x:c>
      <x:c r="S41" s="24" t="str">
        <x:v>季節性、易碎</x:v>
      </x:c>
    </x:row>
    <x:row r="42">
      <x:c r="A42" s="24" t="str">
        <x:v>PX0038</x:v>
      </x:c>
      <x:c r="B42" s="24" t="str">
        <x:v>暖暖包</x:v>
      </x:c>
      <x:c r="C42" s="24" t="str">
        <x:v>季節商品</x:v>
      </x:c>
      <x:c r="D42" s="24" t="str">
        <x:v>Cluster 4</x:v>
      </x:c>
      <x:c r="E42" s="26" t="n">
        <x:v>26</x:v>
      </x:c>
      <x:c r="F42" s="26" t="n">
        <x:v>17</x:v>
      </x:c>
      <x:c r="G42" s="24" t="str">
        <x:v>小</x:v>
      </x:c>
      <x:c r="H42" s="24" t="str">
        <x:v>輕</x:v>
      </x:c>
      <x:c r="I42" s="24" t="str">
        <x:v>否</x:v>
      </x:c>
      <x:c r="J42" s="24" t="str">
        <x:v>否</x:v>
      </x:c>
      <x:c r="K42" s="24" t="str">
        <x:v>是</x:v>
      </x:c>
      <x:c r="L42" s="24" t="str">
        <x:v>11-2月</x:v>
      </x:c>
      <x:c r="M42" s="28" t="n">
        <x:v>1.8</x:v>
      </x:c>
      <x:c r="N42" s="26" t="n">
        <x:v>102</x:v>
      </x:c>
      <x:c r="O42" s="26" t="str"/>
      <x:c r="P42" s="24" t="str">
        <x:v>否</x:v>
      </x:c>
      <x:c r="Q42" s="24" t="str">
        <x:v>1區</x:v>
      </x:c>
      <x:c r="R42" s="26" t="n">
        <x:v>54</x:v>
      </x:c>
      <x:c r="S42" s="24" t="str">
        <x:v>季節性、低頻</x:v>
      </x:c>
    </x:row>
    <x:row r="43">
      <x:c r="A43" s="24" t="str">
        <x:v>PX0039</x:v>
      </x:c>
      <x:c r="B43" s="24" t="str">
        <x:v>保鮮膜</x:v>
      </x:c>
      <x:c r="C43" s="24" t="str">
        <x:v>家用品</x:v>
      </x:c>
      <x:c r="D43" s="24" t="str">
        <x:v>Cluster 5</x:v>
      </x:c>
      <x:c r="E43" s="26" t="n">
        <x:v>46</x:v>
      </x:c>
      <x:c r="F43" s="26" t="n">
        <x:v>29</x:v>
      </x:c>
      <x:c r="G43" s="24" t="str">
        <x:v>小</x:v>
      </x:c>
      <x:c r="H43" s="24" t="str">
        <x:v>輕</x:v>
      </x:c>
      <x:c r="I43" s="24" t="str">
        <x:v>否</x:v>
      </x:c>
      <x:c r="J43" s="24" t="str">
        <x:v>否</x:v>
      </x:c>
      <x:c r="K43" s="24" t="str">
        <x:v>否</x:v>
      </x:c>
      <x:c r="L43" s="24" t="str"/>
      <x:c r="M43" s="28" t="n">
        <x:v>1.1</x:v>
      </x:c>
      <x:c r="N43" s="26" t="n">
        <x:v>197</x:v>
      </x:c>
      <x:c r="O43" s="26" t="str"/>
      <x:c r="P43" s="24" t="str">
        <x:v>否</x:v>
      </x:c>
      <x:c r="Q43" s="24" t="str">
        <x:v>1區</x:v>
      </x:c>
      <x:c r="R43" s="26" t="n">
        <x:v>26</x:v>
      </x:c>
      <x:c r="S43" s="24" t="str">
        <x:v>中頻、小品項</x:v>
      </x:c>
    </x:row>
    <x:row r="44">
      <x:c r="A44" s="24" t="str">
        <x:v>PX0040</x:v>
      </x:c>
      <x:c r="B44" s="24" t="str">
        <x:v>鋁箔紙</x:v>
      </x:c>
      <x:c r="C44" s="24" t="str">
        <x:v>家用品</x:v>
      </x:c>
      <x:c r="D44" s="24" t="str">
        <x:v>Cluster 5</x:v>
      </x:c>
      <x:c r="E44" s="26" t="n">
        <x:v>42</x:v>
      </x:c>
      <x:c r="F44" s="26" t="n">
        <x:v>27</x:v>
      </x:c>
      <x:c r="G44" s="24" t="str">
        <x:v>小</x:v>
      </x:c>
      <x:c r="H44" s="24" t="str">
        <x:v>輕</x:v>
      </x:c>
      <x:c r="I44" s="24" t="str">
        <x:v>否</x:v>
      </x:c>
      <x:c r="J44" s="24" t="str">
        <x:v>否</x:v>
      </x:c>
      <x:c r="K44" s="24" t="str">
        <x:v>否</x:v>
      </x:c>
      <x:c r="L44" s="24" t="str"/>
      <x:c r="M44" s="28" t="n">
        <x:v>1</x:v>
      </x:c>
      <x:c r="N44" s="26" t="n">
        <x:v>197</x:v>
      </x:c>
      <x:c r="O44" s="26" t="str"/>
      <x:c r="P44" s="24" t="str">
        <x:v>否</x:v>
      </x:c>
      <x:c r="Q44" s="24" t="str">
        <x:v>A區</x:v>
      </x:c>
      <x:c r="R44" s="26" t="n">
        <x:v>31</x:v>
      </x:c>
      <x:c r="S44" s="24" t="str">
        <x:v>中頻、小品項</x:v>
      </x:c>
    </x:row>
    <x:row r="45">
      <x:c r="A45" s="24" t="str">
        <x:v>PX0041</x:v>
      </x:c>
      <x:c r="B45" s="24" t="str">
        <x:v>貓砂10L</x:v>
      </x:c>
      <x:c r="C45" s="24" t="str">
        <x:v>寵物用品</x:v>
      </x:c>
      <x:c r="D45" s="24" t="str">
        <x:v>Cluster 2</x:v>
      </x:c>
      <x:c r="E45" s="26" t="n">
        <x:v>40</x:v>
      </x:c>
      <x:c r="F45" s="26" t="n">
        <x:v>25</x:v>
      </x:c>
      <x:c r="G45" s="24" t="str">
        <x:v>大</x:v>
      </x:c>
      <x:c r="H45" s="24" t="str">
        <x:v>重</x:v>
      </x:c>
      <x:c r="I45" s="24" t="str">
        <x:v>否</x:v>
      </x:c>
      <x:c r="J45" s="24" t="str">
        <x:v>否</x:v>
      </x:c>
      <x:c r="K45" s="24" t="str">
        <x:v>否</x:v>
      </x:c>
      <x:c r="L45" s="24" t="str"/>
      <x:c r="M45" s="28" t="n">
        <x:v>1</x:v>
      </x:c>
      <x:c r="N45" s="26" t="n">
        <x:v>86</x:v>
      </x:c>
      <x:c r="O45" s="26" t="n">
        <x:v>24</x:v>
      </x:c>
      <x:c r="P45" s="24" t="str">
        <x:v>是</x:v>
      </x:c>
      <x:c r="Q45" s="24" t="str">
        <x:v>K區</x:v>
      </x:c>
      <x:c r="R45" s="26" t="n">
        <x:v>57</x:v>
      </x:c>
      <x:c r="S45" s="24" t="str">
        <x:v>重物、體積大</x:v>
      </x:c>
    </x:row>
    <x:row r="46">
      <x:c r="A46" s="24" t="str">
        <x:v>PX0042</x:v>
      </x:c>
      <x:c r="B46" s="24" t="str">
        <x:v>運動飲料整箱</x:v>
      </x:c>
      <x:c r="C46" s="24" t="str">
        <x:v>飲品類</x:v>
      </x:c>
      <x:c r="D46" s="24" t="str">
        <x:v>Cluster 3</x:v>
      </x:c>
      <x:c r="E46" s="26" t="n">
        <x:v>112</x:v>
      </x:c>
      <x:c r="F46" s="26" t="n">
        <x:v>64</x:v>
      </x:c>
      <x:c r="G46" s="24" t="str">
        <x:v>中</x:v>
      </x:c>
      <x:c r="H46" s="24" t="str">
        <x:v>重</x:v>
      </x:c>
      <x:c r="I46" s="24" t="str">
        <x:v>是</x:v>
      </x:c>
      <x:c r="J46" s="24" t="str">
        <x:v>否</x:v>
      </x:c>
      <x:c r="K46" s="24" t="str">
        <x:v>否</x:v>
      </x:c>
      <x:c r="L46" s="24" t="str"/>
      <x:c r="M46" s="28" t="n">
        <x:v>1.3</x:v>
      </x:c>
      <x:c r="N46" s="26" t="n">
        <x:v>376</x:v>
      </x:c>
      <x:c r="O46" s="26" t="n">
        <x:v>32</x:v>
      </x:c>
      <x:c r="P46" s="24" t="str">
        <x:v>是</x:v>
      </x:c>
      <x:c r="Q46" s="24" t="str">
        <x:v>K區</x:v>
      </x:c>
      <x:c r="R46" s="26" t="n">
        <x:v>52</x:v>
      </x:c>
      <x:c r="S46" s="24" t="str">
        <x:v>高頻、液體重物</x:v>
      </x:c>
    </x:row>
    <x:row r="47">
      <x:c r="A47" s="24" t="str">
        <x:v>PX0043</x:v>
      </x:c>
      <x:c r="B47" s="24" t="str">
        <x:v>乾電池組</x:v>
      </x:c>
      <x:c r="C47" s="24" t="str">
        <x:v>耗材類</x:v>
      </x:c>
      <x:c r="D47" s="24" t="str">
        <x:v>Cluster 5</x:v>
      </x:c>
      <x:c r="E47" s="26" t="n">
        <x:v>32</x:v>
      </x:c>
      <x:c r="F47" s="26" t="n">
        <x:v>21</x:v>
      </x:c>
      <x:c r="G47" s="24" t="str">
        <x:v>小</x:v>
      </x:c>
      <x:c r="H47" s="24" t="str">
        <x:v>中</x:v>
      </x:c>
      <x:c r="I47" s="24" t="str">
        <x:v>否</x:v>
      </x:c>
      <x:c r="J47" s="24" t="str">
        <x:v>否</x:v>
      </x:c>
      <x:c r="K47" s="24" t="str">
        <x:v>否</x:v>
      </x:c>
      <x:c r="L47" s="24" t="str"/>
      <x:c r="M47" s="28" t="n">
        <x:v>1</x:v>
      </x:c>
      <x:c r="N47" s="26" t="n">
        <x:v>132</x:v>
      </x:c>
      <x:c r="O47" s="26" t="str"/>
      <x:c r="P47" s="24" t="str">
        <x:v>否</x:v>
      </x:c>
      <x:c r="Q47" s="24" t="str">
        <x:v>A區</x:v>
      </x:c>
      <x:c r="R47" s="26" t="n">
        <x:v>23</x:v>
      </x:c>
      <x:c r="S47" s="24" t="str">
        <x:v>小型耗材</x:v>
      </x:c>
    </x:row>
    <x:row r="48">
      <x:c r="A48" s="24" t="str">
        <x:v>PX0044</x:v>
      </x:c>
      <x:c r="B48" s="24" t="str">
        <x:v>手套耗材</x:v>
      </x:c>
      <x:c r="C48" s="24" t="str">
        <x:v>耗材類</x:v>
      </x:c>
      <x:c r="D48" s="24" t="str">
        <x:v>Cluster 5</x:v>
      </x:c>
      <x:c r="E48" s="26" t="n">
        <x:v>25</x:v>
      </x:c>
      <x:c r="F48" s="26" t="n">
        <x:v>16</x:v>
      </x:c>
      <x:c r="G48" s="24" t="str">
        <x:v>小</x:v>
      </x:c>
      <x:c r="H48" s="24" t="str">
        <x:v>輕</x:v>
      </x:c>
      <x:c r="I48" s="24" t="str">
        <x:v>否</x:v>
      </x:c>
      <x:c r="J48" s="24" t="str">
        <x:v>否</x:v>
      </x:c>
      <x:c r="K48" s="24" t="str">
        <x:v>否</x:v>
      </x:c>
      <x:c r="L48" s="24" t="str"/>
      <x:c r="M48" s="28" t="n">
        <x:v>1</x:v>
      </x:c>
      <x:c r="N48" s="26" t="n">
        <x:v>96</x:v>
      </x:c>
      <x:c r="O48" s="26" t="str"/>
      <x:c r="P48" s="24" t="str">
        <x:v>否</x:v>
      </x:c>
      <x:c r="Q48" s="24" t="str">
        <x:v>K區</x:v>
      </x:c>
      <x:c r="R48" s="26" t="n">
        <x:v>59</x:v>
      </x:c>
      <x:c r="S48" s="24" t="str">
        <x:v>低頻、備品</x:v>
      </x:c>
    </x:row>
    <x:row r="49">
      <x:c r="A49" s="24" t="str">
        <x:v>PX0045</x:v>
      </x:c>
      <x:c r="B49" s="24" t="str">
        <x:v>口罩盒</x:v>
      </x:c>
      <x:c r="C49" s="24" t="str">
        <x:v>日用品</x:v>
      </x:c>
      <x:c r="D49" s="24" t="str">
        <x:v>Cluster 5</x:v>
      </x:c>
      <x:c r="E49" s="26" t="n">
        <x:v>50</x:v>
      </x:c>
      <x:c r="F49" s="26" t="n">
        <x:v>31</x:v>
      </x:c>
      <x:c r="G49" s="24" t="str">
        <x:v>小</x:v>
      </x:c>
      <x:c r="H49" s="24" t="str">
        <x:v>輕</x:v>
      </x:c>
      <x:c r="I49" s="24" t="str">
        <x:v>否</x:v>
      </x:c>
      <x:c r="J49" s="24" t="str">
        <x:v>否</x:v>
      </x:c>
      <x:c r="K49" s="24" t="str">
        <x:v>否</x:v>
      </x:c>
      <x:c r="L49" s="24" t="str"/>
      <x:c r="M49" s="28" t="n">
        <x:v>1</x:v>
      </x:c>
      <x:c r="N49" s="26" t="n">
        <x:v>233</x:v>
      </x:c>
      <x:c r="O49" s="26" t="str"/>
      <x:c r="P49" s="24" t="str">
        <x:v>否</x:v>
      </x:c>
      <x:c r="Q49" s="24" t="str">
        <x:v>1區</x:v>
      </x:c>
      <x:c r="R49" s="26" t="n">
        <x:v>21</x:v>
      </x:c>
      <x:c r="S49" s="24" t="str">
        <x:v>中頻、小品項</x:v>
      </x:c>
    </x:row>
    <x:row r="50">
      <x:c r="A50" s="24" t="str">
        <x:v>PX0046</x:v>
      </x:c>
      <x:c r="B50" s="24" t="str">
        <x:v>玻璃保鮮盒</x:v>
      </x:c>
      <x:c r="C50" s="24" t="str">
        <x:v>家用品</x:v>
      </x:c>
      <x:c r="D50" s="24" t="str">
        <x:v>Cluster 1</x:v>
      </x:c>
      <x:c r="E50" s="26" t="n">
        <x:v>18</x:v>
      </x:c>
      <x:c r="F50" s="26" t="n">
        <x:v>11</x:v>
      </x:c>
      <x:c r="G50" s="24" t="str">
        <x:v>中</x:v>
      </x:c>
      <x:c r="H50" s="24" t="str">
        <x:v>中</x:v>
      </x:c>
      <x:c r="I50" s="24" t="str">
        <x:v>否</x:v>
      </x:c>
      <x:c r="J50" s="24" t="str">
        <x:v>是</x:v>
      </x:c>
      <x:c r="K50" s="24" t="str">
        <x:v>否</x:v>
      </x:c>
      <x:c r="L50" s="24" t="str"/>
      <x:c r="M50" s="28" t="n">
        <x:v>1</x:v>
      </x:c>
      <x:c r="N50" s="26" t="n">
        <x:v>40</x:v>
      </x:c>
      <x:c r="O50" s="26" t="str"/>
      <x:c r="P50" s="24" t="str">
        <x:v>否</x:v>
      </x:c>
      <x:c r="Q50" s="24" t="str">
        <x:v>A區</x:v>
      </x:c>
      <x:c r="R50" s="26" t="n">
        <x:v>57</x:v>
      </x:c>
      <x:c r="S50" s="24" t="str">
        <x:v>低頻、易碎</x:v>
      </x:c>
    </x:row>
    <x:row r="51">
      <x:c r="A51" s="24" t="str">
        <x:v>PX0047</x:v>
      </x:c>
      <x:c r="B51" s="24" t="str">
        <x:v>咖哩塊箱</x:v>
      </x:c>
      <x:c r="C51" s="24" t="str">
        <x:v>食品類</x:v>
      </x:c>
      <x:c r="D51" s="24" t="str">
        <x:v>Cluster 5</x:v>
      </x:c>
      <x:c r="E51" s="26" t="n">
        <x:v>39</x:v>
      </x:c>
      <x:c r="F51" s="26" t="n">
        <x:v>25</x:v>
      </x:c>
      <x:c r="G51" s="24" t="str">
        <x:v>小</x:v>
      </x:c>
      <x:c r="H51" s="24" t="str">
        <x:v>輕</x:v>
      </x:c>
      <x:c r="I51" s="24" t="str">
        <x:v>否</x:v>
      </x:c>
      <x:c r="J51" s="24" t="str">
        <x:v>否</x:v>
      </x:c>
      <x:c r="K51" s="24" t="str">
        <x:v>否</x:v>
      </x:c>
      <x:c r="L51" s="24" t="str"/>
      <x:c r="M51" s="28" t="n">
        <x:v>1</x:v>
      </x:c>
      <x:c r="N51" s="26" t="n">
        <x:v>190</x:v>
      </x:c>
      <x:c r="O51" s="26" t="str"/>
      <x:c r="P51" s="24" t="str">
        <x:v>否</x:v>
      </x:c>
      <x:c r="Q51" s="24" t="str">
        <x:v>3區</x:v>
      </x:c>
      <x:c r="R51" s="26" t="n">
        <x:v>39</x:v>
      </x:c>
      <x:c r="S51" s="24" t="str">
        <x:v>中頻、食品</x:v>
      </x:c>
    </x:row>
    <x:row r="52">
      <x:c r="A52" s="24" t="str">
        <x:v>PX0048</x:v>
      </x:c>
      <x:c r="B52" s="24" t="str">
        <x:v>餐巾紙箱</x:v>
      </x:c>
      <x:c r="C52" s="24" t="str">
        <x:v>紙品類</x:v>
      </x:c>
      <x:c r="D52" s="24" t="str">
        <x:v>Cluster 2</x:v>
      </x:c>
      <x:c r="E52" s="26" t="n">
        <x:v>72</x:v>
      </x:c>
      <x:c r="F52" s="26" t="n">
        <x:v>43</x:v>
      </x:c>
      <x:c r="G52" s="24" t="str">
        <x:v>大</x:v>
      </x:c>
      <x:c r="H52" s="24" t="str">
        <x:v>輕</x:v>
      </x:c>
      <x:c r="I52" s="24" t="str">
        <x:v>否</x:v>
      </x:c>
      <x:c r="J52" s="24" t="str">
        <x:v>否</x:v>
      </x:c>
      <x:c r="K52" s="24" t="str">
        <x:v>否</x:v>
      </x:c>
      <x:c r="L52" s="24" t="str"/>
      <x:c r="M52" s="28" t="n">
        <x:v>1</x:v>
      </x:c>
      <x:c r="N52" s="26" t="n">
        <x:v>179</x:v>
      </x:c>
      <x:c r="O52" s="26" t="n">
        <x:v>18</x:v>
      </x:c>
      <x:c r="P52" s="24" t="str">
        <x:v>是</x:v>
      </x:c>
      <x:c r="Q52" s="24" t="str">
        <x:v>A區</x:v>
      </x:c>
      <x:c r="R52" s="26" t="n">
        <x:v>36</x:v>
      </x:c>
      <x:c r="S52" s="24" t="str">
        <x:v>中高頻、體積大</x:v>
      </x:c>
    </x:row>
    <x:row r="53">
      <x:c r="A53" s="24" t="str">
        <x:v>PX0049</x:v>
      </x:c>
      <x:c r="B53" s="24" t="str">
        <x:v>地板清潔劑</x:v>
      </x:c>
      <x:c r="C53" s="24" t="str">
        <x:v>清潔用品</x:v>
      </x:c>
      <x:c r="D53" s="24" t="str">
        <x:v>Cluster 1</x:v>
      </x:c>
      <x:c r="E53" s="26" t="n">
        <x:v>58</x:v>
      </x:c>
      <x:c r="F53" s="26" t="n">
        <x:v>37</x:v>
      </x:c>
      <x:c r="G53" s="24" t="str">
        <x:v>中</x:v>
      </x:c>
      <x:c r="H53" s="24" t="str">
        <x:v>中</x:v>
      </x:c>
      <x:c r="I53" s="24" t="str">
        <x:v>是</x:v>
      </x:c>
      <x:c r="J53" s="24" t="str">
        <x:v>否</x:v>
      </x:c>
      <x:c r="K53" s="24" t="str">
        <x:v>否</x:v>
      </x:c>
      <x:c r="L53" s="24" t="str"/>
      <x:c r="M53" s="28" t="n">
        <x:v>1.1</x:v>
      </x:c>
      <x:c r="N53" s="26" t="n">
        <x:v>141</x:v>
      </x:c>
      <x:c r="O53" s="26" t="n">
        <x:v>60</x:v>
      </x:c>
      <x:c r="P53" s="24" t="str">
        <x:v>是</x:v>
      </x:c>
      <x:c r="Q53" s="24" t="str">
        <x:v>K區</x:v>
      </x:c>
      <x:c r="R53" s="26" t="n">
        <x:v>44</x:v>
      </x:c>
      <x:c r="S53" s="24" t="str">
        <x:v>液體、中頻</x:v>
      </x:c>
    </x:row>
    <x:row r="54">
      <x:c r="A54" s="24" t="str">
        <x:v>PX0050</x:v>
      </x:c>
      <x:c r="B54" s="24" t="str">
        <x:v>年節禮盒組</x:v>
      </x:c>
      <x:c r="C54" s="24" t="str">
        <x:v>季節商品</x:v>
      </x:c>
      <x:c r="D54" s="24" t="str">
        <x:v>Cluster 4</x:v>
      </x:c>
      <x:c r="E54" s="26" t="n">
        <x:v>14</x:v>
      </x:c>
      <x:c r="F54" s="26" t="n">
        <x:v>7</x:v>
      </x:c>
      <x:c r="G54" s="24" t="str">
        <x:v>大</x:v>
      </x:c>
      <x:c r="H54" s="24" t="str">
        <x:v>中</x:v>
      </x:c>
      <x:c r="I54" s="24" t="str">
        <x:v>否</x:v>
      </x:c>
      <x:c r="J54" s="24" t="str">
        <x:v>是</x:v>
      </x:c>
      <x:c r="K54" s="24" t="str">
        <x:v>是</x:v>
      </x:c>
      <x:c r="L54" s="24" t="str">
        <x:v>1-2月</x:v>
      </x:c>
      <x:c r="M54" s="28" t="n">
        <x:v>2</x:v>
      </x:c>
      <x:c r="N54" s="26" t="n">
        <x:v>49</x:v>
      </x:c>
      <x:c r="O54" s="26" t="n">
        <x:v>18</x:v>
      </x:c>
      <x:c r="P54" s="24" t="str">
        <x:v>是</x:v>
      </x:c>
      <x:c r="Q54" s="24" t="str">
        <x:v>A區</x:v>
      </x:c>
      <x:c r="R54" s="26" t="n">
        <x:v>62</x:v>
      </x:c>
      <x:c r="S54" s="24" t="str">
        <x:v>低頻、季節性、占空間</x:v>
      </x:c>
    </x:row>
    <x:row r="55">
      <x:c r="A55" s="24" t="str">
        <x:v>PX0051</x:v>
      </x:c>
      <x:c r="B55" s="24" t="str">
        <x:v>瓶裝水600ml-小包裝</x:v>
      </x:c>
      <x:c r="C55" s="24" t="str">
        <x:v>飲品類</x:v>
      </x:c>
      <x:c r="D55" s="24" t="str">
        <x:v>Cluster 2</x:v>
      </x:c>
      <x:c r="E55" s="26" t="n">
        <x:v>174</x:v>
      </x:c>
      <x:c r="F55" s="26" t="n">
        <x:v>51</x:v>
      </x:c>
      <x:c r="G55" s="24" t="str">
        <x:v>中</x:v>
      </x:c>
      <x:c r="H55" s="24" t="str">
        <x:v>重</x:v>
      </x:c>
      <x:c r="I55" s="24" t="str">
        <x:v>是</x:v>
      </x:c>
      <x:c r="J55" s="24" t="str">
        <x:v>否</x:v>
      </x:c>
      <x:c r="K55" s="24" t="str">
        <x:v>否</x:v>
      </x:c>
      <x:c r="L55" s="24" t="str"/>
      <x:c r="M55" s="28" t="n">
        <x:v>1.3</x:v>
      </x:c>
      <x:c r="N55" s="26" t="n">
        <x:v>565</x:v>
      </x:c>
      <x:c r="O55" s="26" t="n">
        <x:v>36</x:v>
      </x:c>
      <x:c r="P55" s="24" t="str">
        <x:v>是</x:v>
      </x:c>
      <x:c r="Q55" s="24" t="str">
        <x:v>彈性區</x:v>
      </x:c>
      <x:c r="R55" s="26" t="n">
        <x:v>45</x:v>
      </x:c>
      <x:c r="S55" s="24" t="str">
        <x:v>高頻、重物、液體</x:v>
      </x:c>
    </x:row>
    <x:row r="56">
      <x:c r="A56" s="24" t="str">
        <x:v>PX0052</x:v>
      </x:c>
      <x:c r="B56" s="24" t="str">
        <x:v>家庭號礦泉水-家庭號</x:v>
      </x:c>
      <x:c r="C56" s="24" t="str">
        <x:v>飲品類</x:v>
      </x:c>
      <x:c r="D56" s="24" t="str">
        <x:v>Cluster 3</x:v>
      </x:c>
      <x:c r="E56" s="26" t="n">
        <x:v>105</x:v>
      </x:c>
      <x:c r="F56" s="26" t="n">
        <x:v>90</x:v>
      </x:c>
      <x:c r="G56" s="24" t="str">
        <x:v>中</x:v>
      </x:c>
      <x:c r="H56" s="24" t="str">
        <x:v>重</x:v>
      </x:c>
      <x:c r="I56" s="24" t="str">
        <x:v>是</x:v>
      </x:c>
      <x:c r="J56" s="24" t="str">
        <x:v>是</x:v>
      </x:c>
      <x:c r="K56" s="24" t="str">
        <x:v>否</x:v>
      </x:c>
      <x:c r="L56" s="24" t="str"/>
      <x:c r="M56" s="28" t="n">
        <x:v>1.3</x:v>
      </x:c>
      <x:c r="N56" s="26" t="n">
        <x:v>319</x:v>
      </x:c>
      <x:c r="O56" s="26" t="n">
        <x:v>48</x:v>
      </x:c>
      <x:c r="P56" s="24" t="str">
        <x:v>是</x:v>
      </x:c>
      <x:c r="Q56" s="24" t="str">
        <x:v>彈性區</x:v>
      </x:c>
      <x:c r="R56" s="26" t="n">
        <x:v>53</x:v>
      </x:c>
      <x:c r="S56" s="24" t="str">
        <x:v>高頻、重物、液體、易碎</x:v>
      </x:c>
    </x:row>
    <x:row r="57">
      <x:c r="A57" s="24" t="str">
        <x:v>PX0053</x:v>
      </x:c>
      <x:c r="B57" s="24" t="str">
        <x:v>捲筒衛生紙-小包裝</x:v>
      </x:c>
      <x:c r="C57" s="24" t="str">
        <x:v>紙品類</x:v>
      </x:c>
      <x:c r="D57" s="24" t="str">
        <x:v>Cluster 2</x:v>
      </x:c>
      <x:c r="E57" s="26" t="n">
        <x:v>177</x:v>
      </x:c>
      <x:c r="F57" s="26" t="n">
        <x:v>66</x:v>
      </x:c>
      <x:c r="G57" s="24" t="str">
        <x:v>大</x:v>
      </x:c>
      <x:c r="H57" s="24" t="str">
        <x:v>輕</x:v>
      </x:c>
      <x:c r="I57" s="24" t="str">
        <x:v>否</x:v>
      </x:c>
      <x:c r="J57" s="24" t="str">
        <x:v>否</x:v>
      </x:c>
      <x:c r="K57" s="24" t="str">
        <x:v>否</x:v>
      </x:c>
      <x:c r="L57" s="24" t="str"/>
      <x:c r="M57" s="28" t="n">
        <x:v>1.1</x:v>
      </x:c>
      <x:c r="N57" s="26" t="n">
        <x:v>696</x:v>
      </x:c>
      <x:c r="O57" s="26" t="n">
        <x:v>24</x:v>
      </x:c>
      <x:c r="P57" s="24" t="str">
        <x:v>是</x:v>
      </x:c>
      <x:c r="Q57" s="24" t="str">
        <x:v>A區</x:v>
      </x:c>
      <x:c r="R57" s="26" t="n">
        <x:v>20</x:v>
      </x:c>
      <x:c r="S57" s="24" t="str">
        <x:v>高頻、體積大</x:v>
      </x:c>
    </x:row>
    <x:row r="58">
      <x:c r="A58" s="24" t="str">
        <x:v>PX0054</x:v>
      </x:c>
      <x:c r="B58" s="24" t="str">
        <x:v>沐浴乳-小包裝</x:v>
      </x:c>
      <x:c r="C58" s="24" t="str">
        <x:v>日用品</x:v>
      </x:c>
      <x:c r="D58" s="24" t="str">
        <x:v>Cluster 3</x:v>
      </x:c>
      <x:c r="E58" s="26" t="n">
        <x:v>90</x:v>
      </x:c>
      <x:c r="F58" s="26" t="n">
        <x:v>80</x:v>
      </x:c>
      <x:c r="G58" s="24" t="str">
        <x:v>大</x:v>
      </x:c>
      <x:c r="H58" s="24" t="str">
        <x:v>中</x:v>
      </x:c>
      <x:c r="I58" s="24" t="str">
        <x:v>是</x:v>
      </x:c>
      <x:c r="J58" s="24" t="str">
        <x:v>否</x:v>
      </x:c>
      <x:c r="K58" s="24" t="str">
        <x:v>否</x:v>
      </x:c>
      <x:c r="L58" s="24" t="str"/>
      <x:c r="M58" s="28" t="n">
        <x:v>1</x:v>
      </x:c>
      <x:c r="N58" s="26" t="n">
        <x:v>196</x:v>
      </x:c>
      <x:c r="O58" s="26" t="n">
        <x:v>20</x:v>
      </x:c>
      <x:c r="P58" s="24" t="str">
        <x:v>是</x:v>
      </x:c>
      <x:c r="Q58" s="24" t="str">
        <x:v>3區</x:v>
      </x:c>
      <x:c r="R58" s="26" t="n">
        <x:v>41</x:v>
      </x:c>
      <x:c r="S58" s="24" t="str">
        <x:v>高頻、體積大、液體</x:v>
      </x:c>
    </x:row>
    <x:row r="59">
      <x:c r="A59" s="24" t="str">
        <x:v>PX0055</x:v>
      </x:c>
      <x:c r="B59" s="24" t="str">
        <x:v>擦手紙箱-家庭號</x:v>
      </x:c>
      <x:c r="C59" s="24" t="str">
        <x:v>紙品類</x:v>
      </x:c>
      <x:c r="D59" s="24" t="str">
        <x:v>Cluster 2</x:v>
      </x:c>
      <x:c r="E59" s="26" t="n">
        <x:v>128</x:v>
      </x:c>
      <x:c r="F59" s="26" t="n">
        <x:v>62</x:v>
      </x:c>
      <x:c r="G59" s="24" t="str">
        <x:v>大</x:v>
      </x:c>
      <x:c r="H59" s="24" t="str">
        <x:v>中</x:v>
      </x:c>
      <x:c r="I59" s="24" t="str">
        <x:v>否</x:v>
      </x:c>
      <x:c r="J59" s="24" t="str">
        <x:v>否</x:v>
      </x:c>
      <x:c r="K59" s="24" t="str">
        <x:v>否</x:v>
      </x:c>
      <x:c r="L59" s="24" t="str"/>
      <x:c r="M59" s="28" t="n">
        <x:v>1.1</x:v>
      </x:c>
      <x:c r="N59" s="26" t="n">
        <x:v>503</x:v>
      </x:c>
      <x:c r="O59" s="26" t="n">
        <x:v>30</x:v>
      </x:c>
      <x:c r="P59" s="24" t="str">
        <x:v>是</x:v>
      </x:c>
      <x:c r="Q59" s="24" t="str">
        <x:v>K區</x:v>
      </x:c>
      <x:c r="R59" s="26" t="n">
        <x:v>49</x:v>
      </x:c>
      <x:c r="S59" s="24" t="str">
        <x:v>高頻、體積大</x:v>
      </x:c>
    </x:row>
    <x:row r="60">
      <x:c r="A60" s="24" t="str">
        <x:v>PX0056</x:v>
      </x:c>
      <x:c r="B60" s="24" t="str">
        <x:v>洗髮精-箱裝</x:v>
      </x:c>
      <x:c r="C60" s="24" t="str">
        <x:v>日用品</x:v>
      </x:c>
      <x:c r="D60" s="24" t="str">
        <x:v>Cluster 3</x:v>
      </x:c>
      <x:c r="E60" s="26" t="n">
        <x:v>139</x:v>
      </x:c>
      <x:c r="F60" s="26" t="n">
        <x:v>69</x:v>
      </x:c>
      <x:c r="G60" s="24" t="str">
        <x:v>小</x:v>
      </x:c>
      <x:c r="H60" s="24" t="str">
        <x:v>中</x:v>
      </x:c>
      <x:c r="I60" s="24" t="str">
        <x:v>是</x:v>
      </x:c>
      <x:c r="J60" s="24" t="str">
        <x:v>否</x:v>
      </x:c>
      <x:c r="K60" s="24" t="str">
        <x:v>否</x:v>
      </x:c>
      <x:c r="L60" s="24" t="str"/>
      <x:c r="M60" s="28" t="n">
        <x:v>1.1</x:v>
      </x:c>
      <x:c r="N60" s="26" t="n">
        <x:v>420</x:v>
      </x:c>
      <x:c r="O60" s="26" t="n">
        <x:v>72</x:v>
      </x:c>
      <x:c r="P60" s="24" t="str">
        <x:v>是</x:v>
      </x:c>
      <x:c r="Q60" s="24" t="str">
        <x:v>3區</x:v>
      </x:c>
      <x:c r="R60" s="26" t="n">
        <x:v>47</x:v>
      </x:c>
      <x:c r="S60" s="24" t="str">
        <x:v>高頻、液體</x:v>
      </x:c>
    </x:row>
    <x:row r="61">
      <x:c r="A61" s="24" t="str">
        <x:v>PX0057</x:v>
      </x:c>
      <x:c r="B61" s="24" t="str">
        <x:v>柔軟精-標準箱</x:v>
      </x:c>
      <x:c r="C61" s="24" t="str">
        <x:v>清潔用品</x:v>
      </x:c>
      <x:c r="D61" s="24" t="str">
        <x:v>Cluster 3</x:v>
      </x:c>
      <x:c r="E61" s="26" t="n">
        <x:v>152</x:v>
      </x:c>
      <x:c r="F61" s="26" t="n">
        <x:v>90</x:v>
      </x:c>
      <x:c r="G61" s="24" t="str">
        <x:v>小</x:v>
      </x:c>
      <x:c r="H61" s="24" t="str">
        <x:v>中</x:v>
      </x:c>
      <x:c r="I61" s="24" t="str">
        <x:v>是</x:v>
      </x:c>
      <x:c r="J61" s="24" t="str">
        <x:v>否</x:v>
      </x:c>
      <x:c r="K61" s="24" t="str">
        <x:v>否</x:v>
      </x:c>
      <x:c r="L61" s="24" t="str"/>
      <x:c r="M61" s="28" t="n">
        <x:v>1</x:v>
      </x:c>
      <x:c r="N61" s="26" t="n">
        <x:v>574</x:v>
      </x:c>
      <x:c r="O61" s="26" t="n">
        <x:v>80</x:v>
      </x:c>
      <x:c r="P61" s="24" t="str">
        <x:v>是</x:v>
      </x:c>
      <x:c r="Q61" s="24" t="str">
        <x:v>3區</x:v>
      </x:c>
      <x:c r="R61" s="26" t="n">
        <x:v>45</x:v>
      </x:c>
      <x:c r="S61" s="24" t="str">
        <x:v>高頻、液體</x:v>
      </x:c>
    </x:row>
    <x:row r="62">
      <x:c r="A62" s="24" t="str">
        <x:v>PX0058</x:v>
      </x:c>
      <x:c r="B62" s="24" t="str">
        <x:v>食用油-家庭號</x:v>
      </x:c>
      <x:c r="C62" s="24" t="str">
        <x:v>食品類</x:v>
      </x:c>
      <x:c r="D62" s="24" t="str">
        <x:v>Cluster 3</x:v>
      </x:c>
      <x:c r="E62" s="26" t="n">
        <x:v>154</x:v>
      </x:c>
      <x:c r="F62" s="26" t="n">
        <x:v>72</x:v>
      </x:c>
      <x:c r="G62" s="24" t="str">
        <x:v>小</x:v>
      </x:c>
      <x:c r="H62" s="24" t="str">
        <x:v>重</x:v>
      </x:c>
      <x:c r="I62" s="24" t="str">
        <x:v>是</x:v>
      </x:c>
      <x:c r="J62" s="24" t="str">
        <x:v>否</x:v>
      </x:c>
      <x:c r="K62" s="24" t="str">
        <x:v>否</x:v>
      </x:c>
      <x:c r="L62" s="24" t="str"/>
      <x:c r="M62" s="28" t="n">
        <x:v>1</x:v>
      </x:c>
      <x:c r="N62" s="26" t="n">
        <x:v>448</x:v>
      </x:c>
      <x:c r="O62" s="26" t="n">
        <x:v>36</x:v>
      </x:c>
      <x:c r="P62" s="24" t="str">
        <x:v>是</x:v>
      </x:c>
      <x:c r="Q62" s="24" t="str">
        <x:v>遠端區</x:v>
      </x:c>
      <x:c r="R62" s="26" t="n">
        <x:v>71</x:v>
      </x:c>
      <x:c r="S62" s="24" t="str">
        <x:v>高頻、重物、液體</x:v>
      </x:c>
    </x:row>
    <x:row r="63">
      <x:c r="A63" s="24" t="str">
        <x:v>PX0059</x:v>
      </x:c>
      <x:c r="B63" s="24" t="str">
        <x:v>果汁飲料整箱-標準箱</x:v>
      </x:c>
      <x:c r="C63" s="24" t="str">
        <x:v>飲品類</x:v>
      </x:c>
      <x:c r="D63" s="24" t="str">
        <x:v>Cluster 3</x:v>
      </x:c>
      <x:c r="E63" s="26" t="n">
        <x:v>100</x:v>
      </x:c>
      <x:c r="F63" s="26" t="n">
        <x:v>88</x:v>
      </x:c>
      <x:c r="G63" s="24" t="str">
        <x:v>中</x:v>
      </x:c>
      <x:c r="H63" s="24" t="str">
        <x:v>重</x:v>
      </x:c>
      <x:c r="I63" s="24" t="str">
        <x:v>是</x:v>
      </x:c>
      <x:c r="J63" s="24" t="str">
        <x:v>否</x:v>
      </x:c>
      <x:c r="K63" s="24" t="str">
        <x:v>否</x:v>
      </x:c>
      <x:c r="L63" s="24" t="str"/>
      <x:c r="M63" s="28" t="n">
        <x:v>1.3</x:v>
      </x:c>
      <x:c r="N63" s="26" t="n">
        <x:v>251</x:v>
      </x:c>
      <x:c r="O63" s="26" t="n">
        <x:v>40</x:v>
      </x:c>
      <x:c r="P63" s="24" t="str">
        <x:v>是</x:v>
      </x:c>
      <x:c r="Q63" s="24" t="str">
        <x:v>K區</x:v>
      </x:c>
      <x:c r="R63" s="26" t="n">
        <x:v>50</x:v>
      </x:c>
      <x:c r="S63" s="24" t="str">
        <x:v>高頻、重物、液體</x:v>
      </x:c>
    </x:row>
    <x:row r="64">
      <x:c r="A64" s="24" t="str">
        <x:v>PX0060</x:v>
      </x:c>
      <x:c r="B64" s="24" t="str">
        <x:v>寵物尿布墊-箱裝</x:v>
      </x:c>
      <x:c r="C64" s="24" t="str">
        <x:v>寵物用品</x:v>
      </x:c>
      <x:c r="D64" s="24" t="str">
        <x:v>Cluster 2</x:v>
      </x:c>
      <x:c r="E64" s="26" t="n">
        <x:v>167</x:v>
      </x:c>
      <x:c r="F64" s="26" t="n">
        <x:v>79</x:v>
      </x:c>
      <x:c r="G64" s="24" t="str">
        <x:v>大</x:v>
      </x:c>
      <x:c r="H64" s="24" t="str">
        <x:v>中</x:v>
      </x:c>
      <x:c r="I64" s="24" t="str">
        <x:v>否</x:v>
      </x:c>
      <x:c r="J64" s="24" t="str">
        <x:v>是</x:v>
      </x:c>
      <x:c r="K64" s="24" t="str">
        <x:v>否</x:v>
      </x:c>
      <x:c r="L64" s="24" t="str"/>
      <x:c r="M64" s="28" t="n">
        <x:v>1</x:v>
      </x:c>
      <x:c r="N64" s="26" t="n">
        <x:v>576</x:v>
      </x:c>
      <x:c r="O64" s="26" t="n">
        <x:v>24</x:v>
      </x:c>
      <x:c r="P64" s="24" t="str">
        <x:v>是</x:v>
      </x:c>
      <x:c r="Q64" s="24" t="str">
        <x:v>3區</x:v>
      </x:c>
      <x:c r="R64" s="26" t="n">
        <x:v>33</x:v>
      </x:c>
      <x:c r="S64" s="24" t="str">
        <x:v>高頻、體積大、易碎</x:v>
      </x:c>
    </x:row>
    <x:row r="65">
      <x:c r="A65" s="24" t="str">
        <x:v>PX0061</x:v>
      </x:c>
      <x:c r="B65" s="24" t="str">
        <x:v>備用耗材-小包裝</x:v>
      </x:c>
      <x:c r="C65" s="24" t="str">
        <x:v>耗材類</x:v>
      </x:c>
      <x:c r="D65" s="24" t="str">
        <x:v>Cluster 5</x:v>
      </x:c>
      <x:c r="E65" s="26" t="n">
        <x:v>93</x:v>
      </x:c>
      <x:c r="F65" s="26" t="n">
        <x:v>85</x:v>
      </x:c>
      <x:c r="G65" s="24" t="str">
        <x:v>小</x:v>
      </x:c>
      <x:c r="H65" s="24" t="str">
        <x:v>輕</x:v>
      </x:c>
      <x:c r="I65" s="24" t="str">
        <x:v>否</x:v>
      </x:c>
      <x:c r="J65" s="24" t="str">
        <x:v>否</x:v>
      </x:c>
      <x:c r="K65" s="24" t="str">
        <x:v>否</x:v>
      </x:c>
      <x:c r="L65" s="24" t="str"/>
      <x:c r="M65" s="28" t="n">
        <x:v>1</x:v>
      </x:c>
      <x:c r="N65" s="26" t="n">
        <x:v>227</x:v>
      </x:c>
      <x:c r="O65" s="26" t="n">
        <x:v>72</x:v>
      </x:c>
      <x:c r="P65" s="24" t="str">
        <x:v>是</x:v>
      </x:c>
      <x:c r="Q65" s="24" t="str">
        <x:v>3區</x:v>
      </x:c>
      <x:c r="R65" s="26" t="n">
        <x:v>49</x:v>
      </x:c>
      <x:c r="S65" s="24" t="str">
        <x:v>高頻</x:v>
      </x:c>
    </x:row>
    <x:row r="66">
      <x:c r="A66" s="24" t="str">
        <x:v>PX0062</x:v>
      </x:c>
      <x:c r="B66" s="24" t="str">
        <x:v>餅乾箱-箱裝</x:v>
      </x:c>
      <x:c r="C66" s="24" t="str">
        <x:v>食品類</x:v>
      </x:c>
      <x:c r="D66" s="24" t="str">
        <x:v>Cluster 5</x:v>
      </x:c>
      <x:c r="E66" s="26" t="n">
        <x:v>126</x:v>
      </x:c>
      <x:c r="F66" s="26" t="n">
        <x:v>64</x:v>
      </x:c>
      <x:c r="G66" s="24" t="str">
        <x:v>小</x:v>
      </x:c>
      <x:c r="H66" s="24" t="str">
        <x:v>輕</x:v>
      </x:c>
      <x:c r="I66" s="24" t="str">
        <x:v>否</x:v>
      </x:c>
      <x:c r="J66" s="24" t="str">
        <x:v>否</x:v>
      </x:c>
      <x:c r="K66" s="24" t="str">
        <x:v>否</x:v>
      </x:c>
      <x:c r="L66" s="24" t="str"/>
      <x:c r="M66" s="28" t="n">
        <x:v>1</x:v>
      </x:c>
      <x:c r="N66" s="26" t="n">
        <x:v>613</x:v>
      </x:c>
      <x:c r="O66" s="26" t="n">
        <x:v>60</x:v>
      </x:c>
      <x:c r="P66" s="24" t="str">
        <x:v>是</x:v>
      </x:c>
      <x:c r="Q66" s="24" t="str">
        <x:v>1區</x:v>
      </x:c>
      <x:c r="R66" s="26" t="n">
        <x:v>27</x:v>
      </x:c>
      <x:c r="S66" s="24" t="str">
        <x:v>高頻</x:v>
      </x:c>
    </x:row>
    <x:row r="67">
      <x:c r="A67" s="24" t="str">
        <x:v>PX0063</x:v>
      </x:c>
      <x:c r="B67" s="24" t="str">
        <x:v>果汁飲料整箱-箱裝</x:v>
      </x:c>
      <x:c r="C67" s="24" t="str">
        <x:v>飲品類</x:v>
      </x:c>
      <x:c r="D67" s="24" t="str">
        <x:v>Cluster 3</x:v>
      </x:c>
      <x:c r="E67" s="26" t="n">
        <x:v>140</x:v>
      </x:c>
      <x:c r="F67" s="26" t="n">
        <x:v>80</x:v>
      </x:c>
      <x:c r="G67" s="24" t="str">
        <x:v>中</x:v>
      </x:c>
      <x:c r="H67" s="24" t="str">
        <x:v>重</x:v>
      </x:c>
      <x:c r="I67" s="24" t="str">
        <x:v>是</x:v>
      </x:c>
      <x:c r="J67" s="24" t="str">
        <x:v>否</x:v>
      </x:c>
      <x:c r="K67" s="24" t="str">
        <x:v>否</x:v>
      </x:c>
      <x:c r="L67" s="24" t="str"/>
      <x:c r="M67" s="28" t="n">
        <x:v>1.5</x:v>
      </x:c>
      <x:c r="N67" s="26" t="n">
        <x:v>504</x:v>
      </x:c>
      <x:c r="O67" s="26" t="n">
        <x:v>36</x:v>
      </x:c>
      <x:c r="P67" s="24" t="str">
        <x:v>是</x:v>
      </x:c>
      <x:c r="Q67" s="24" t="str">
        <x:v>1區</x:v>
      </x:c>
      <x:c r="R67" s="26" t="n">
        <x:v>36</x:v>
      </x:c>
      <x:c r="S67" s="24" t="str">
        <x:v>高頻、重物、液體</x:v>
      </x:c>
    </x:row>
    <x:row r="68">
      <x:c r="A68" s="24" t="str">
        <x:v>PX0064</x:v>
      </x:c>
      <x:c r="B68" s="24" t="str">
        <x:v>浴廁清潔劑-補充包</x:v>
      </x:c>
      <x:c r="C68" s="24" t="str">
        <x:v>清潔用品</x:v>
      </x:c>
      <x:c r="D68" s="24" t="str">
        <x:v>Cluster 3</x:v>
      </x:c>
      <x:c r="E68" s="26" t="n">
        <x:v>127</x:v>
      </x:c>
      <x:c r="F68" s="26" t="n">
        <x:v>73</x:v>
      </x:c>
      <x:c r="G68" s="24" t="str">
        <x:v>中</x:v>
      </x:c>
      <x:c r="H68" s="24" t="str">
        <x:v>中</x:v>
      </x:c>
      <x:c r="I68" s="24" t="str">
        <x:v>是</x:v>
      </x:c>
      <x:c r="J68" s="24" t="str">
        <x:v>否</x:v>
      </x:c>
      <x:c r="K68" s="24" t="str">
        <x:v>否</x:v>
      </x:c>
      <x:c r="L68" s="24" t="str"/>
      <x:c r="M68" s="28" t="n">
        <x:v>1</x:v>
      </x:c>
      <x:c r="N68" s="26" t="n">
        <x:v>573</x:v>
      </x:c>
      <x:c r="O68" s="26" t="n">
        <x:v>60</x:v>
      </x:c>
      <x:c r="P68" s="24" t="str">
        <x:v>是</x:v>
      </x:c>
      <x:c r="Q68" s="24" t="str">
        <x:v>遠端區</x:v>
      </x:c>
      <x:c r="R68" s="26" t="n">
        <x:v>57</x:v>
      </x:c>
      <x:c r="S68" s="24" t="str">
        <x:v>高頻、液體</x:v>
      </x:c>
    </x:row>
    <x:row r="69">
      <x:c r="A69" s="24" t="str">
        <x:v>PX0065</x:v>
      </x:c>
      <x:c r="B69" s="24" t="str">
        <x:v>面紙箱-箱裝</x:v>
      </x:c>
      <x:c r="C69" s="24" t="str">
        <x:v>紙品類</x:v>
      </x:c>
      <x:c r="D69" s="24" t="str">
        <x:v>Cluster 5</x:v>
      </x:c>
      <x:c r="E69" s="26" t="n">
        <x:v>109</x:v>
      </x:c>
      <x:c r="F69" s="26" t="n">
        <x:v>49</x:v>
      </x:c>
      <x:c r="G69" s="24" t="str">
        <x:v>小</x:v>
      </x:c>
      <x:c r="H69" s="24" t="str">
        <x:v>輕</x:v>
      </x:c>
      <x:c r="I69" s="24" t="str">
        <x:v>否</x:v>
      </x:c>
      <x:c r="J69" s="24" t="str">
        <x:v>否</x:v>
      </x:c>
      <x:c r="K69" s="24" t="str">
        <x:v>否</x:v>
      </x:c>
      <x:c r="L69" s="24" t="str"/>
      <x:c r="M69" s="28" t="n">
        <x:v>1</x:v>
      </x:c>
      <x:c r="N69" s="26" t="n">
        <x:v>295</x:v>
      </x:c>
      <x:c r="O69" s="26" t="n">
        <x:v>48</x:v>
      </x:c>
      <x:c r="P69" s="24" t="str">
        <x:v>是</x:v>
      </x:c>
      <x:c r="Q69" s="24" t="str">
        <x:v>A區</x:v>
      </x:c>
      <x:c r="R69" s="26" t="n">
        <x:v>28</x:v>
      </x:c>
      <x:c r="S69" s="24" t="str">
        <x:v>高頻</x:v>
      </x:c>
    </x:row>
    <x:row r="70">
      <x:c r="A70" s="24" t="str">
        <x:v>PX0066</x:v>
      </x:c>
      <x:c r="B70" s="24" t="str">
        <x:v>地板清潔劑-家庭號</x:v>
      </x:c>
      <x:c r="C70" s="24" t="str">
        <x:v>清潔用品</x:v>
      </x:c>
      <x:c r="D70" s="24" t="str">
        <x:v>Cluster 3</x:v>
      </x:c>
      <x:c r="E70" s="26" t="n">
        <x:v>153</x:v>
      </x:c>
      <x:c r="F70" s="26" t="n">
        <x:v>75</x:v>
      </x:c>
      <x:c r="G70" s="24" t="str">
        <x:v>中</x:v>
      </x:c>
      <x:c r="H70" s="24" t="str">
        <x:v>中</x:v>
      </x:c>
      <x:c r="I70" s="24" t="str">
        <x:v>是</x:v>
      </x:c>
      <x:c r="J70" s="24" t="str">
        <x:v>否</x:v>
      </x:c>
      <x:c r="K70" s="24" t="str">
        <x:v>否</x:v>
      </x:c>
      <x:c r="L70" s="24" t="str"/>
      <x:c r="M70" s="28" t="n">
        <x:v>1</x:v>
      </x:c>
      <x:c r="N70" s="26" t="n">
        <x:v>569</x:v>
      </x:c>
      <x:c r="O70" s="26" t="n">
        <x:v>80</x:v>
      </x:c>
      <x:c r="P70" s="24" t="str">
        <x:v>是</x:v>
      </x:c>
      <x:c r="Q70" s="24" t="str">
        <x:v>1區</x:v>
      </x:c>
      <x:c r="R70" s="26" t="n">
        <x:v>33</x:v>
      </x:c>
      <x:c r="S70" s="24" t="str">
        <x:v>高頻、液體</x:v>
      </x:c>
    </x:row>
    <x:row r="71">
      <x:c r="A71" s="24" t="str">
        <x:v>PX0067</x:v>
      </x:c>
      <x:c r="B71" s="24" t="str">
        <x:v>端午禮盒-促銷組</x:v>
      </x:c>
      <x:c r="C71" s="24" t="str">
        <x:v>季節商品</x:v>
      </x:c>
      <x:c r="D71" s="24" t="str">
        <x:v>Cluster 4</x:v>
      </x:c>
      <x:c r="E71" s="26" t="n">
        <x:v>173</x:v>
      </x:c>
      <x:c r="F71" s="26" t="n">
        <x:v>48</x:v>
      </x:c>
      <x:c r="G71" s="24" t="str">
        <x:v>大</x:v>
      </x:c>
      <x:c r="H71" s="24" t="str">
        <x:v>輕</x:v>
      </x:c>
      <x:c r="I71" s="24" t="str">
        <x:v>否</x:v>
      </x:c>
      <x:c r="J71" s="24" t="str">
        <x:v>是</x:v>
      </x:c>
      <x:c r="K71" s="24" t="str">
        <x:v>是</x:v>
      </x:c>
      <x:c r="L71" s="24" t="str">
        <x:v>1-2月</x:v>
      </x:c>
      <x:c r="M71" s="28" t="n">
        <x:v>2.5</x:v>
      </x:c>
      <x:c r="N71" s="26" t="n">
        <x:v>537</x:v>
      </x:c>
      <x:c r="O71" s="26" t="n">
        <x:v>20</x:v>
      </x:c>
      <x:c r="P71" s="24" t="str">
        <x:v>是</x:v>
      </x:c>
      <x:c r="Q71" s="24" t="str">
        <x:v>彈性區</x:v>
      </x:c>
      <x:c r="R71" s="26" t="n">
        <x:v>55</x:v>
      </x:c>
      <x:c r="S71" s="24" t="str">
        <x:v>高頻、體積大、易碎、季節性</x:v>
      </x:c>
    </x:row>
    <x:row r="72">
      <x:c r="A72" s="24" t="str">
        <x:v>PX0068</x:v>
      </x:c>
      <x:c r="B72" s="24" t="str">
        <x:v>家庭號礦泉水-家庭號</x:v>
      </x:c>
      <x:c r="C72" s="24" t="str">
        <x:v>飲品類</x:v>
      </x:c>
      <x:c r="D72" s="24" t="str">
        <x:v>Cluster 3</x:v>
      </x:c>
      <x:c r="E72" s="26" t="n">
        <x:v>134</x:v>
      </x:c>
      <x:c r="F72" s="26" t="n">
        <x:v>56</x:v>
      </x:c>
      <x:c r="G72" s="24" t="str">
        <x:v>中</x:v>
      </x:c>
      <x:c r="H72" s="24" t="str">
        <x:v>重</x:v>
      </x:c>
      <x:c r="I72" s="24" t="str">
        <x:v>是</x:v>
      </x:c>
      <x:c r="J72" s="24" t="str">
        <x:v>否</x:v>
      </x:c>
      <x:c r="K72" s="24" t="str">
        <x:v>否</x:v>
      </x:c>
      <x:c r="L72" s="24" t="str"/>
      <x:c r="M72" s="28" t="n">
        <x:v>1.5</x:v>
      </x:c>
      <x:c r="N72" s="26" t="n">
        <x:v>552</x:v>
      </x:c>
      <x:c r="O72" s="26" t="n">
        <x:v>40</x:v>
      </x:c>
      <x:c r="P72" s="24" t="str">
        <x:v>是</x:v>
      </x:c>
      <x:c r="Q72" s="24" t="str">
        <x:v>3區</x:v>
      </x:c>
      <x:c r="R72" s="26" t="n">
        <x:v>32</x:v>
      </x:c>
      <x:c r="S72" s="24" t="str">
        <x:v>高頻、重物、液體</x:v>
      </x:c>
    </x:row>
    <x:row r="73">
      <x:c r="A73" s="24" t="str">
        <x:v>PX0069</x:v>
      </x:c>
      <x:c r="B73" s="24" t="str">
        <x:v>擦手紙箱-箱裝</x:v>
      </x:c>
      <x:c r="C73" s="24" t="str">
        <x:v>紙品類</x:v>
      </x:c>
      <x:c r="D73" s="24" t="str">
        <x:v>Cluster 2</x:v>
      </x:c>
      <x:c r="E73" s="26" t="n">
        <x:v>101</x:v>
      </x:c>
      <x:c r="F73" s="26" t="n">
        <x:v>71</x:v>
      </x:c>
      <x:c r="G73" s="24" t="str">
        <x:v>大</x:v>
      </x:c>
      <x:c r="H73" s="24" t="str">
        <x:v>中</x:v>
      </x:c>
      <x:c r="I73" s="24" t="str">
        <x:v>否</x:v>
      </x:c>
      <x:c r="J73" s="24" t="str">
        <x:v>否</x:v>
      </x:c>
      <x:c r="K73" s="24" t="str">
        <x:v>否</x:v>
      </x:c>
      <x:c r="L73" s="24" t="str"/>
      <x:c r="M73" s="28" t="n">
        <x:v>1</x:v>
      </x:c>
      <x:c r="N73" s="26" t="n">
        <x:v>246</x:v>
      </x:c>
      <x:c r="O73" s="26" t="n">
        <x:v>30</x:v>
      </x:c>
      <x:c r="P73" s="24" t="str">
        <x:v>是</x:v>
      </x:c>
      <x:c r="Q73" s="24" t="str">
        <x:v>K區</x:v>
      </x:c>
      <x:c r="R73" s="26" t="n">
        <x:v>39</x:v>
      </x:c>
      <x:c r="S73" s="24" t="str">
        <x:v>高頻、體積大</x:v>
      </x:c>
    </x:row>
    <x:row r="74">
      <x:c r="A74" s="24" t="str">
        <x:v>PX0070</x:v>
      </x:c>
      <x:c r="B74" s="24" t="str">
        <x:v>餐巾紙箱-補充包</x:v>
      </x:c>
      <x:c r="C74" s="24" t="str">
        <x:v>紙品類</x:v>
      </x:c>
      <x:c r="D74" s="24" t="str">
        <x:v>Cluster 5</x:v>
      </x:c>
      <x:c r="E74" s="26" t="n">
        <x:v>173</x:v>
      </x:c>
      <x:c r="F74" s="26" t="n">
        <x:v>80</x:v>
      </x:c>
      <x:c r="G74" s="24" t="str">
        <x:v>小</x:v>
      </x:c>
      <x:c r="H74" s="24" t="str">
        <x:v>中</x:v>
      </x:c>
      <x:c r="I74" s="24" t="str">
        <x:v>否</x:v>
      </x:c>
      <x:c r="J74" s="24" t="str">
        <x:v>否</x:v>
      </x:c>
      <x:c r="K74" s="24" t="str">
        <x:v>否</x:v>
      </x:c>
      <x:c r="L74" s="24" t="str"/>
      <x:c r="M74" s="28" t="n">
        <x:v>1.1</x:v>
      </x:c>
      <x:c r="N74" s="26" t="n">
        <x:v>852</x:v>
      </x:c>
      <x:c r="O74" s="26" t="n">
        <x:v>72</x:v>
      </x:c>
      <x:c r="P74" s="24" t="str">
        <x:v>是</x:v>
      </x:c>
      <x:c r="Q74" s="24" t="str">
        <x:v>彈性區</x:v>
      </x:c>
      <x:c r="R74" s="26" t="n">
        <x:v>46</x:v>
      </x:c>
      <x:c r="S74" s="24" t="str">
        <x:v>高頻</x:v>
      </x:c>
    </x:row>
    <x:row r="75">
      <x:c r="A75" s="24" t="str">
        <x:v>PX0071</x:v>
      </x:c>
      <x:c r="B75" s="24" t="str">
        <x:v>寵物飼料5kg-小包裝</x:v>
      </x:c>
      <x:c r="C75" s="24" t="str">
        <x:v>寵物用品</x:v>
      </x:c>
      <x:c r="D75" s="24" t="str">
        <x:v>Cluster 3</x:v>
      </x:c>
      <x:c r="E75" s="26" t="n">
        <x:v>141</x:v>
      </x:c>
      <x:c r="F75" s="26" t="n">
        <x:v>77</x:v>
      </x:c>
      <x:c r="G75" s="24" t="str">
        <x:v>大</x:v>
      </x:c>
      <x:c r="H75" s="24" t="str">
        <x:v>重</x:v>
      </x:c>
      <x:c r="I75" s="24" t="str">
        <x:v>否</x:v>
      </x:c>
      <x:c r="J75" s="24" t="str">
        <x:v>否</x:v>
      </x:c>
      <x:c r="K75" s="24" t="str">
        <x:v>否</x:v>
      </x:c>
      <x:c r="L75" s="24" t="str"/>
      <x:c r="M75" s="28" t="n">
        <x:v>1</x:v>
      </x:c>
      <x:c r="N75" s="26" t="n">
        <x:v>671</x:v>
      </x:c>
      <x:c r="O75" s="26" t="n">
        <x:v>30</x:v>
      </x:c>
      <x:c r="P75" s="24" t="str">
        <x:v>是</x:v>
      </x:c>
      <x:c r="Q75" s="24" t="str">
        <x:v>遠端區</x:v>
      </x:c>
      <x:c r="R75" s="26" t="n">
        <x:v>60</x:v>
      </x:c>
      <x:c r="S75" s="24" t="str">
        <x:v>高頻、體積大、重物</x:v>
      </x:c>
    </x:row>
    <x:row r="76">
      <x:c r="A76" s="24" t="str">
        <x:v>PX0072</x:v>
      </x:c>
      <x:c r="B76" s="24" t="str">
        <x:v>咖啡罐裝整箱-家庭號</x:v>
      </x:c>
      <x:c r="C76" s="24" t="str">
        <x:v>飲品類</x:v>
      </x:c>
      <x:c r="D76" s="24" t="str">
        <x:v>Cluster 3</x:v>
      </x:c>
      <x:c r="E76" s="26" t="n">
        <x:v>154</x:v>
      </x:c>
      <x:c r="F76" s="26" t="n">
        <x:v>83</x:v>
      </x:c>
      <x:c r="G76" s="24" t="str">
        <x:v>中</x:v>
      </x:c>
      <x:c r="H76" s="24" t="str">
        <x:v>中</x:v>
      </x:c>
      <x:c r="I76" s="24" t="str">
        <x:v>是</x:v>
      </x:c>
      <x:c r="J76" s="24" t="str">
        <x:v>否</x:v>
      </x:c>
      <x:c r="K76" s="24" t="str">
        <x:v>否</x:v>
      </x:c>
      <x:c r="L76" s="24" t="str"/>
      <x:c r="M76" s="28" t="n">
        <x:v>1</x:v>
      </x:c>
      <x:c r="N76" s="26" t="n">
        <x:v>663</x:v>
      </x:c>
      <x:c r="O76" s="26" t="n">
        <x:v>80</x:v>
      </x:c>
      <x:c r="P76" s="24" t="str">
        <x:v>是</x:v>
      </x:c>
      <x:c r="Q76" s="24" t="str">
        <x:v>A區</x:v>
      </x:c>
      <x:c r="R76" s="26" t="n">
        <x:v>37</x:v>
      </x:c>
      <x:c r="S76" s="24" t="str">
        <x:v>高頻、液體</x:v>
      </x:c>
    </x:row>
    <x:row r="77">
      <x:c r="A77" s="24" t="str">
        <x:v>PX0073</x:v>
      </x:c>
      <x:c r="B77" s="24" t="str">
        <x:v>寵物尿布墊-補充包</x:v>
      </x:c>
      <x:c r="C77" s="24" t="str">
        <x:v>寵物用品</x:v>
      </x:c>
      <x:c r="D77" s="24" t="str">
        <x:v>Cluster 2</x:v>
      </x:c>
      <x:c r="E77" s="26" t="n">
        <x:v>130</x:v>
      </x:c>
      <x:c r="F77" s="26" t="n">
        <x:v>53</x:v>
      </x:c>
      <x:c r="G77" s="24" t="str">
        <x:v>大</x:v>
      </x:c>
      <x:c r="H77" s="24" t="str">
        <x:v>輕</x:v>
      </x:c>
      <x:c r="I77" s="24" t="str">
        <x:v>否</x:v>
      </x:c>
      <x:c r="J77" s="24" t="str">
        <x:v>否</x:v>
      </x:c>
      <x:c r="K77" s="24" t="str">
        <x:v>否</x:v>
      </x:c>
      <x:c r="L77" s="24" t="str"/>
      <x:c r="M77" s="28" t="n">
        <x:v>1</x:v>
      </x:c>
      <x:c r="N77" s="26" t="n">
        <x:v>320</x:v>
      </x:c>
      <x:c r="O77" s="26" t="n">
        <x:v>24</x:v>
      </x:c>
      <x:c r="P77" s="24" t="str">
        <x:v>是</x:v>
      </x:c>
      <x:c r="Q77" s="24" t="str">
        <x:v>彈性區</x:v>
      </x:c>
      <x:c r="R77" s="26" t="n">
        <x:v>45</x:v>
      </x:c>
      <x:c r="S77" s="24" t="str">
        <x:v>高頻、體積大</x:v>
      </x:c>
    </x:row>
    <x:row r="78">
      <x:c r="A78" s="24" t="str">
        <x:v>PX0074</x:v>
      </x:c>
      <x:c r="B78" s="24" t="str">
        <x:v>標籤紙卷-箱裝</x:v>
      </x:c>
      <x:c r="C78" s="24" t="str">
        <x:v>耗材類</x:v>
      </x:c>
      <x:c r="D78" s="24" t="str">
        <x:v>Cluster 5</x:v>
      </x:c>
      <x:c r="E78" s="26" t="n">
        <x:v>124</x:v>
      </x:c>
      <x:c r="F78" s="26" t="n">
        <x:v>49</x:v>
      </x:c>
      <x:c r="G78" s="24" t="str">
        <x:v>小</x:v>
      </x:c>
      <x:c r="H78" s="24" t="str">
        <x:v>輕</x:v>
      </x:c>
      <x:c r="I78" s="24" t="str">
        <x:v>否</x:v>
      </x:c>
      <x:c r="J78" s="24" t="str">
        <x:v>否</x:v>
      </x:c>
      <x:c r="K78" s="24" t="str">
        <x:v>否</x:v>
      </x:c>
      <x:c r="L78" s="24" t="str"/>
      <x:c r="M78" s="28" t="n">
        <x:v>1.1</x:v>
      </x:c>
      <x:c r="N78" s="26" t="n">
        <x:v>510</x:v>
      </x:c>
      <x:c r="O78" s="26" t="n">
        <x:v>80</x:v>
      </x:c>
      <x:c r="P78" s="24" t="str">
        <x:v>是</x:v>
      </x:c>
      <x:c r="Q78" s="24" t="str">
        <x:v>1區</x:v>
      </x:c>
      <x:c r="R78" s="26" t="n">
        <x:v>29</x:v>
      </x:c>
      <x:c r="S78" s="24" t="str">
        <x:v>高頻</x:v>
      </x:c>
    </x:row>
    <x:row r="79">
      <x:c r="A79" s="24" t="str">
        <x:v>PX0075</x:v>
      </x:c>
      <x:c r="B79" s="24" t="str">
        <x:v>寵物飼料5kg-小包裝</x:v>
      </x:c>
      <x:c r="C79" s="24" t="str">
        <x:v>寵物用品</x:v>
      </x:c>
      <x:c r="D79" s="24" t="str">
        <x:v>Cluster 2</x:v>
      </x:c>
      <x:c r="E79" s="26" t="n">
        <x:v>164</x:v>
      </x:c>
      <x:c r="F79" s="26" t="n">
        <x:v>51</x:v>
      </x:c>
      <x:c r="G79" s="24" t="str">
        <x:v>大</x:v>
      </x:c>
      <x:c r="H79" s="24" t="str">
        <x:v>重</x:v>
      </x:c>
      <x:c r="I79" s="24" t="str">
        <x:v>否</x:v>
      </x:c>
      <x:c r="J79" s="24" t="str">
        <x:v>否</x:v>
      </x:c>
      <x:c r="K79" s="24" t="str">
        <x:v>否</x:v>
      </x:c>
      <x:c r="L79" s="24" t="str"/>
      <x:c r="M79" s="28" t="n">
        <x:v>1</x:v>
      </x:c>
      <x:c r="N79" s="26" t="n">
        <x:v>805</x:v>
      </x:c>
      <x:c r="O79" s="26" t="n">
        <x:v>20</x:v>
      </x:c>
      <x:c r="P79" s="24" t="str">
        <x:v>是</x:v>
      </x:c>
      <x:c r="Q79" s="24" t="str">
        <x:v>1區</x:v>
      </x:c>
      <x:c r="R79" s="26" t="n">
        <x:v>23</x:v>
      </x:c>
      <x:c r="S79" s="24" t="str">
        <x:v>高頻、體積大、重物</x:v>
      </x:c>
    </x:row>
    <x:row r="80">
      <x:c r="A80" s="24" t="str">
        <x:v>PX0076</x:v>
      </x:c>
      <x:c r="B80" s="24" t="str">
        <x:v>牙刷組-小包裝</x:v>
      </x:c>
      <x:c r="C80" s="24" t="str">
        <x:v>日用品</x:v>
      </x:c>
      <x:c r="D80" s="24" t="str">
        <x:v>Cluster 2</x:v>
      </x:c>
      <x:c r="E80" s="26" t="n">
        <x:v>112</x:v>
      </x:c>
      <x:c r="F80" s="26" t="n">
        <x:v>48</x:v>
      </x:c>
      <x:c r="G80" s="24" t="str">
        <x:v>大</x:v>
      </x:c>
      <x:c r="H80" s="24" t="str">
        <x:v>輕</x:v>
      </x:c>
      <x:c r="I80" s="24" t="str">
        <x:v>否</x:v>
      </x:c>
      <x:c r="J80" s="24" t="str">
        <x:v>否</x:v>
      </x:c>
      <x:c r="K80" s="24" t="str">
        <x:v>否</x:v>
      </x:c>
      <x:c r="L80" s="24" t="str"/>
      <x:c r="M80" s="28" t="n">
        <x:v>1.1</x:v>
      </x:c>
      <x:c r="N80" s="26" t="n">
        <x:v>468</x:v>
      </x:c>
      <x:c r="O80" s="26" t="n">
        <x:v>30</x:v>
      </x:c>
      <x:c r="P80" s="24" t="str">
        <x:v>是</x:v>
      </x:c>
      <x:c r="Q80" s="24" t="str">
        <x:v>A區</x:v>
      </x:c>
      <x:c r="R80" s="26" t="n">
        <x:v>38</x:v>
      </x:c>
      <x:c r="S80" s="24" t="str">
        <x:v>高頻、體積大</x:v>
      </x:c>
    </x:row>
    <x:row r="81">
      <x:c r="A81" s="24" t="str">
        <x:v>PX0077</x:v>
      </x:c>
      <x:c r="B81" s="24" t="str">
        <x:v>食用油-家庭號</x:v>
      </x:c>
      <x:c r="C81" s="24" t="str">
        <x:v>食品類</x:v>
      </x:c>
      <x:c r="D81" s="24" t="str">
        <x:v>Cluster 2</x:v>
      </x:c>
      <x:c r="E81" s="26" t="n">
        <x:v>81</x:v>
      </x:c>
      <x:c r="F81" s="26" t="n">
        <x:v>52</x:v>
      </x:c>
      <x:c r="G81" s="24" t="str">
        <x:v>小</x:v>
      </x:c>
      <x:c r="H81" s="24" t="str">
        <x:v>重</x:v>
      </x:c>
      <x:c r="I81" s="24" t="str">
        <x:v>是</x:v>
      </x:c>
      <x:c r="J81" s="24" t="str">
        <x:v>否</x:v>
      </x:c>
      <x:c r="K81" s="24" t="str">
        <x:v>否</x:v>
      </x:c>
      <x:c r="L81" s="24" t="str"/>
      <x:c r="M81" s="28" t="n">
        <x:v>1</x:v>
      </x:c>
      <x:c r="N81" s="26" t="n">
        <x:v>329</x:v>
      </x:c>
      <x:c r="O81" s="26" t="n">
        <x:v>48</x:v>
      </x:c>
      <x:c r="P81" s="24" t="str">
        <x:v>是</x:v>
      </x:c>
      <x:c r="Q81" s="24" t="str">
        <x:v>A區</x:v>
      </x:c>
      <x:c r="R81" s="26" t="n">
        <x:v>22</x:v>
      </x:c>
      <x:c r="S81" s="24" t="str">
        <x:v>高頻、重物、液體</x:v>
      </x:c>
    </x:row>
    <x:row r="82">
      <x:c r="A82" s="24" t="str">
        <x:v>PX0078</x:v>
      </x:c>
      <x:c r="B82" s="24" t="str">
        <x:v>玻璃瓶醬料-家庭號</x:v>
      </x:c>
      <x:c r="C82" s="24" t="str">
        <x:v>食品類</x:v>
      </x:c>
      <x:c r="D82" s="24" t="str">
        <x:v>Cluster 4</x:v>
      </x:c>
      <x:c r="E82" s="26" t="n">
        <x:v>190</x:v>
      </x:c>
      <x:c r="F82" s="26" t="n">
        <x:v>47</x:v>
      </x:c>
      <x:c r="G82" s="24" t="str">
        <x:v>小</x:v>
      </x:c>
      <x:c r="H82" s="24" t="str">
        <x:v>中</x:v>
      </x:c>
      <x:c r="I82" s="24" t="str">
        <x:v>否</x:v>
      </x:c>
      <x:c r="J82" s="24" t="str">
        <x:v>是</x:v>
      </x:c>
      <x:c r="K82" s="24" t="str">
        <x:v>是</x:v>
      </x:c>
      <x:c r="L82" s="24" t="str">
        <x:v>旺季</x:v>
      </x:c>
      <x:c r="M82" s="28" t="n">
        <x:v>1.8</x:v>
      </x:c>
      <x:c r="N82" s="26" t="n">
        <x:v>459</x:v>
      </x:c>
      <x:c r="O82" s="26" t="n">
        <x:v>48</x:v>
      </x:c>
      <x:c r="P82" s="24" t="str">
        <x:v>是</x:v>
      </x:c>
      <x:c r="Q82" s="24" t="str">
        <x:v>3區</x:v>
      </x:c>
      <x:c r="R82" s="26" t="n">
        <x:v>37</x:v>
      </x:c>
      <x:c r="S82" s="24" t="str">
        <x:v>高頻、易碎、季節性</x:v>
      </x:c>
    </x:row>
    <x:row r="83">
      <x:c r="A83" s="24" t="str">
        <x:v>PX0079</x:v>
      </x:c>
      <x:c r="B83" s="24" t="str">
        <x:v>寵物罐頭箱-箱裝</x:v>
      </x:c>
      <x:c r="C83" s="24" t="str">
        <x:v>寵物用品</x:v>
      </x:c>
      <x:c r="D83" s="24" t="str">
        <x:v>Cluster 5</x:v>
      </x:c>
      <x:c r="E83" s="26" t="n">
        <x:v>182</x:v>
      </x:c>
      <x:c r="F83" s="26" t="n">
        <x:v>56</x:v>
      </x:c>
      <x:c r="G83" s="24" t="str">
        <x:v>小</x:v>
      </x:c>
      <x:c r="H83" s="24" t="str">
        <x:v>輕</x:v>
      </x:c>
      <x:c r="I83" s="24" t="str">
        <x:v>否</x:v>
      </x:c>
      <x:c r="J83" s="24" t="str">
        <x:v>否</x:v>
      </x:c>
      <x:c r="K83" s="24" t="str">
        <x:v>否</x:v>
      </x:c>
      <x:c r="L83" s="24" t="str"/>
      <x:c r="M83" s="28" t="n">
        <x:v>1</x:v>
      </x:c>
      <x:c r="N83" s="26" t="n">
        <x:v>377</x:v>
      </x:c>
      <x:c r="O83" s="26" t="n">
        <x:v>60</x:v>
      </x:c>
      <x:c r="P83" s="24" t="str">
        <x:v>是</x:v>
      </x:c>
      <x:c r="Q83" s="24" t="str">
        <x:v>K區</x:v>
      </x:c>
      <x:c r="R83" s="26" t="n">
        <x:v>51</x:v>
      </x:c>
      <x:c r="S83" s="24" t="str">
        <x:v>高頻</x:v>
      </x:c>
    </x:row>
    <x:row r="84">
      <x:c r="A84" s="24" t="str">
        <x:v>PX0080</x:v>
      </x:c>
      <x:c r="B84" s="24" t="str">
        <x:v>白米3kg-促銷組</x:v>
      </x:c>
      <x:c r="C84" s="24" t="str">
        <x:v>食品類</x:v>
      </x:c>
      <x:c r="D84" s="24" t="str">
        <x:v>Cluster 3</x:v>
      </x:c>
      <x:c r="E84" s="26" t="n">
        <x:v>108</x:v>
      </x:c>
      <x:c r="F84" s="26" t="n">
        <x:v>57</x:v>
      </x:c>
      <x:c r="G84" s="24" t="str">
        <x:v>中</x:v>
      </x:c>
      <x:c r="H84" s="24" t="str">
        <x:v>重</x:v>
      </x:c>
      <x:c r="I84" s="24" t="str">
        <x:v>否</x:v>
      </x:c>
      <x:c r="J84" s="24" t="str">
        <x:v>否</x:v>
      </x:c>
      <x:c r="K84" s="24" t="str">
        <x:v>否</x:v>
      </x:c>
      <x:c r="L84" s="24" t="str"/>
      <x:c r="M84" s="28" t="n">
        <x:v>1</x:v>
      </x:c>
      <x:c r="N84" s="26" t="n">
        <x:v>331</x:v>
      </x:c>
      <x:c r="O84" s="26" t="n">
        <x:v>40</x:v>
      </x:c>
      <x:c r="P84" s="24" t="str">
        <x:v>是</x:v>
      </x:c>
      <x:c r="Q84" s="24" t="str">
        <x:v>K區</x:v>
      </x:c>
      <x:c r="R84" s="26" t="n">
        <x:v>45</x:v>
      </x:c>
      <x:c r="S84" s="24" t="str">
        <x:v>高頻、重物</x:v>
      </x:c>
    </x:row>
    <x:row r="85">
      <x:c r="A85" s="24" t="str">
        <x:v>PX0081</x:v>
      </x:c>
      <x:c r="B85" s="24" t="str">
        <x:v>保鮮膜-補充包</x:v>
      </x:c>
      <x:c r="C85" s="24" t="str">
        <x:v>家用品</x:v>
      </x:c>
      <x:c r="D85" s="24" t="str">
        <x:v>Cluster 5</x:v>
      </x:c>
      <x:c r="E85" s="26" t="n">
        <x:v>131</x:v>
      </x:c>
      <x:c r="F85" s="26" t="n">
        <x:v>88</x:v>
      </x:c>
      <x:c r="G85" s="24" t="str">
        <x:v>小</x:v>
      </x:c>
      <x:c r="H85" s="24" t="str">
        <x:v>輕</x:v>
      </x:c>
      <x:c r="I85" s="24" t="str">
        <x:v>否</x:v>
      </x:c>
      <x:c r="J85" s="24" t="str">
        <x:v>否</x:v>
      </x:c>
      <x:c r="K85" s="24" t="str">
        <x:v>否</x:v>
      </x:c>
      <x:c r="L85" s="24" t="str"/>
      <x:c r="M85" s="28" t="n">
        <x:v>1</x:v>
      </x:c>
      <x:c r="N85" s="26" t="n">
        <x:v>501</x:v>
      </x:c>
      <x:c r="O85" s="26" t="n">
        <x:v>60</x:v>
      </x:c>
      <x:c r="P85" s="24" t="str">
        <x:v>是</x:v>
      </x:c>
      <x:c r="Q85" s="24" t="str">
        <x:v>遠端區</x:v>
      </x:c>
      <x:c r="R85" s="26" t="n">
        <x:v>60</x:v>
      </x:c>
      <x:c r="S85" s="24" t="str">
        <x:v>高頻</x:v>
      </x:c>
    </x:row>
    <x:row r="86">
      <x:c r="A86" s="24" t="str">
        <x:v>PX0082</x:v>
      </x:c>
      <x:c r="B86" s="24" t="str">
        <x:v>沐浴乳-標準箱</x:v>
      </x:c>
      <x:c r="C86" s="24" t="str">
        <x:v>日用品</x:v>
      </x:c>
      <x:c r="D86" s="24" t="str">
        <x:v>Cluster 3</x:v>
      </x:c>
      <x:c r="E86" s="26" t="n">
        <x:v>135</x:v>
      </x:c>
      <x:c r="F86" s="26" t="n">
        <x:v>83</x:v>
      </x:c>
      <x:c r="G86" s="24" t="str">
        <x:v>中</x:v>
      </x:c>
      <x:c r="H86" s="24" t="str">
        <x:v>中</x:v>
      </x:c>
      <x:c r="I86" s="24" t="str">
        <x:v>是</x:v>
      </x:c>
      <x:c r="J86" s="24" t="str">
        <x:v>否</x:v>
      </x:c>
      <x:c r="K86" s="24" t="str">
        <x:v>否</x:v>
      </x:c>
      <x:c r="L86" s="24" t="str"/>
      <x:c r="M86" s="28" t="n">
        <x:v>1.1</x:v>
      </x:c>
      <x:c r="N86" s="26" t="n">
        <x:v>483</x:v>
      </x:c>
      <x:c r="O86" s="26" t="n">
        <x:v>72</x:v>
      </x:c>
      <x:c r="P86" s="24" t="str">
        <x:v>是</x:v>
      </x:c>
      <x:c r="Q86" s="24" t="str">
        <x:v>遠端區</x:v>
      </x:c>
      <x:c r="R86" s="26" t="n">
        <x:v>63</x:v>
      </x:c>
      <x:c r="S86" s="24" t="str">
        <x:v>高頻、液體</x:v>
      </x:c>
    </x:row>
    <x:row r="87">
      <x:c r="A87" s="24" t="str">
        <x:v>PX0083</x:v>
      </x:c>
      <x:c r="B87" s="24" t="str">
        <x:v>保鮮盒-箱裝</x:v>
      </x:c>
      <x:c r="C87" s="24" t="str">
        <x:v>家用品</x:v>
      </x:c>
      <x:c r="D87" s="24" t="str">
        <x:v>Cluster 5</x:v>
      </x:c>
      <x:c r="E87" s="26" t="n">
        <x:v>172</x:v>
      </x:c>
      <x:c r="F87" s="26" t="n">
        <x:v>87</x:v>
      </x:c>
      <x:c r="G87" s="24" t="str">
        <x:v>中</x:v>
      </x:c>
      <x:c r="H87" s="24" t="str">
        <x:v>中</x:v>
      </x:c>
      <x:c r="I87" s="24" t="str">
        <x:v>否</x:v>
      </x:c>
      <x:c r="J87" s="24" t="str">
        <x:v>否</x:v>
      </x:c>
      <x:c r="K87" s="24" t="str">
        <x:v>否</x:v>
      </x:c>
      <x:c r="L87" s="24" t="str"/>
      <x:c r="M87" s="28" t="n">
        <x:v>1</x:v>
      </x:c>
      <x:c r="N87" s="26" t="n">
        <x:v>355</x:v>
      </x:c>
      <x:c r="O87" s="26" t="n">
        <x:v>80</x:v>
      </x:c>
      <x:c r="P87" s="24" t="str">
        <x:v>是</x:v>
      </x:c>
      <x:c r="Q87" s="24" t="str">
        <x:v>1區</x:v>
      </x:c>
      <x:c r="R87" s="26" t="n">
        <x:v>33</x:v>
      </x:c>
      <x:c r="S87" s="24" t="str">
        <x:v>高頻</x:v>
      </x:c>
    </x:row>
    <x:row r="88">
      <x:c r="A88" s="24" t="str">
        <x:v>PX0084</x:v>
      </x:c>
      <x:c r="B88" s="24" t="str">
        <x:v>防蚊用品-小包裝</x:v>
      </x:c>
      <x:c r="C88" s="24" t="str">
        <x:v>季節商品</x:v>
      </x:c>
      <x:c r="D88" s="24" t="str">
        <x:v>Cluster 4</x:v>
      </x:c>
      <x:c r="E88" s="26" t="n">
        <x:v>121</x:v>
      </x:c>
      <x:c r="F88" s="26" t="n">
        <x:v>70</x:v>
      </x:c>
      <x:c r="G88" s="24" t="str">
        <x:v>小</x:v>
      </x:c>
      <x:c r="H88" s="24" t="str">
        <x:v>中</x:v>
      </x:c>
      <x:c r="I88" s="24" t="str">
        <x:v>否</x:v>
      </x:c>
      <x:c r="J88" s="24" t="str">
        <x:v>否</x:v>
      </x:c>
      <x:c r="K88" s="24" t="str">
        <x:v>是</x:v>
      </x:c>
      <x:c r="L88" s="24" t="str">
        <x:v>5-8月</x:v>
      </x:c>
      <x:c r="M88" s="28" t="n">
        <x:v>1.8</x:v>
      </x:c>
      <x:c r="N88" s="26" t="n">
        <x:v>596</x:v>
      </x:c>
      <x:c r="O88" s="26" t="n">
        <x:v>80</x:v>
      </x:c>
      <x:c r="P88" s="24" t="str">
        <x:v>是</x:v>
      </x:c>
      <x:c r="Q88" s="24" t="str">
        <x:v>彈性區</x:v>
      </x:c>
      <x:c r="R88" s="26" t="n">
        <x:v>57</x:v>
      </x:c>
      <x:c r="S88" s="24" t="str">
        <x:v>高頻、季節性</x:v>
      </x:c>
    </x:row>
    <x:row r="89">
      <x:c r="A89" s="24" t="str">
        <x:v>PX0085</x:v>
      </x:c>
      <x:c r="B89" s="24" t="str">
        <x:v>食用油-促銷組</x:v>
      </x:c>
      <x:c r="C89" s="24" t="str">
        <x:v>食品類</x:v>
      </x:c>
      <x:c r="D89" s="24" t="str">
        <x:v>Cluster 3</x:v>
      </x:c>
      <x:c r="E89" s="26" t="n">
        <x:v>135</x:v>
      </x:c>
      <x:c r="F89" s="26" t="n">
        <x:v>82</x:v>
      </x:c>
      <x:c r="G89" s="24" t="str">
        <x:v>小</x:v>
      </x:c>
      <x:c r="H89" s="24" t="str">
        <x:v>重</x:v>
      </x:c>
      <x:c r="I89" s="24" t="str">
        <x:v>是</x:v>
      </x:c>
      <x:c r="J89" s="24" t="str">
        <x:v>是</x:v>
      </x:c>
      <x:c r="K89" s="24" t="str">
        <x:v>否</x:v>
      </x:c>
      <x:c r="L89" s="24" t="str"/>
      <x:c r="M89" s="28" t="n">
        <x:v>1</x:v>
      </x:c>
      <x:c r="N89" s="26" t="n">
        <x:v>468</x:v>
      </x:c>
      <x:c r="O89" s="26" t="n">
        <x:v>32</x:v>
      </x:c>
      <x:c r="P89" s="24" t="str">
        <x:v>是</x:v>
      </x:c>
      <x:c r="Q89" s="24" t="str">
        <x:v>遠端區</x:v>
      </x:c>
      <x:c r="R89" s="26" t="n">
        <x:v>69</x:v>
      </x:c>
      <x:c r="S89" s="24" t="str">
        <x:v>高頻、重物、液體、易碎</x:v>
      </x:c>
    </x:row>
    <x:row r="90">
      <x:c r="A90" s="24" t="str">
        <x:v>PX0086</x:v>
      </x:c>
      <x:c r="B90" s="24" t="str">
        <x:v>寵物罐頭箱-小包裝</x:v>
      </x:c>
      <x:c r="C90" s="24" t="str">
        <x:v>寵物用品</x:v>
      </x:c>
      <x:c r="D90" s="24" t="str">
        <x:v>Cluster 5</x:v>
      </x:c>
      <x:c r="E90" s="26" t="n">
        <x:v>122</x:v>
      </x:c>
      <x:c r="F90" s="26" t="n">
        <x:v>50</x:v>
      </x:c>
      <x:c r="G90" s="24" t="str">
        <x:v>小</x:v>
      </x:c>
      <x:c r="H90" s="24" t="str">
        <x:v>輕</x:v>
      </x:c>
      <x:c r="I90" s="24" t="str">
        <x:v>否</x:v>
      </x:c>
      <x:c r="J90" s="24" t="str">
        <x:v>否</x:v>
      </x:c>
      <x:c r="K90" s="24" t="str">
        <x:v>否</x:v>
      </x:c>
      <x:c r="L90" s="24" t="str"/>
      <x:c r="M90" s="28" t="n">
        <x:v>1.1</x:v>
      </x:c>
      <x:c r="N90" s="26" t="n">
        <x:v>376</x:v>
      </x:c>
      <x:c r="O90" s="26" t="n">
        <x:v>60</x:v>
      </x:c>
      <x:c r="P90" s="24" t="str">
        <x:v>是</x:v>
      </x:c>
      <x:c r="Q90" s="24" t="str">
        <x:v>1區</x:v>
      </x:c>
      <x:c r="R90" s="26" t="n">
        <x:v>27</x:v>
      </x:c>
      <x:c r="S90" s="24" t="str">
        <x:v>高頻</x:v>
      </x:c>
    </x:row>
    <x:row r="91">
      <x:c r="A91" s="24" t="str">
        <x:v>PX0087</x:v>
      </x:c>
      <x:c r="B91" s="24" t="str">
        <x:v>洗衣粉箱-箱裝</x:v>
      </x:c>
      <x:c r="C91" s="24" t="str">
        <x:v>清潔用品</x:v>
      </x:c>
      <x:c r="D91" s="24" t="str">
        <x:v>Cluster 3</x:v>
      </x:c>
      <x:c r="E91" s="26" t="n">
        <x:v>133</x:v>
      </x:c>
      <x:c r="F91" s="26" t="n">
        <x:v>85</x:v>
      </x:c>
      <x:c r="G91" s="24" t="str">
        <x:v>中</x:v>
      </x:c>
      <x:c r="H91" s="24" t="str">
        <x:v>中</x:v>
      </x:c>
      <x:c r="I91" s="24" t="str">
        <x:v>是</x:v>
      </x:c>
      <x:c r="J91" s="24" t="str">
        <x:v>否</x:v>
      </x:c>
      <x:c r="K91" s="24" t="str">
        <x:v>否</x:v>
      </x:c>
      <x:c r="L91" s="24" t="str"/>
      <x:c r="M91" s="28" t="n">
        <x:v>1.1</x:v>
      </x:c>
      <x:c r="N91" s="26" t="n">
        <x:v>606</x:v>
      </x:c>
      <x:c r="O91" s="26" t="n">
        <x:v>72</x:v>
      </x:c>
      <x:c r="P91" s="24" t="str">
        <x:v>是</x:v>
      </x:c>
      <x:c r="Q91" s="24" t="str">
        <x:v>遠端區</x:v>
      </x:c>
      <x:c r="R91" s="26" t="n">
        <x:v>67</x:v>
      </x:c>
      <x:c r="S91" s="24" t="str">
        <x:v>高頻、液體</x:v>
      </x:c>
    </x:row>
    <x:row r="92">
      <x:c r="A92" s="24" t="str">
        <x:v>PX0088</x:v>
      </x:c>
      <x:c r="B92" s="24" t="str">
        <x:v>泡麵箱-標準箱</x:v>
      </x:c>
      <x:c r="C92" s="24" t="str">
        <x:v>食品類</x:v>
      </x:c>
      <x:c r="D92" s="24" t="str">
        <x:v>Cluster 5</x:v>
      </x:c>
      <x:c r="E92" s="26" t="n">
        <x:v>182</x:v>
      </x:c>
      <x:c r="F92" s="26" t="n">
        <x:v>89</x:v>
      </x:c>
      <x:c r="G92" s="24" t="str">
        <x:v>中</x:v>
      </x:c>
      <x:c r="H92" s="24" t="str">
        <x:v>中</x:v>
      </x:c>
      <x:c r="I92" s="24" t="str">
        <x:v>否</x:v>
      </x:c>
      <x:c r="J92" s="24" t="str">
        <x:v>否</x:v>
      </x:c>
      <x:c r="K92" s="24" t="str">
        <x:v>否</x:v>
      </x:c>
      <x:c r="L92" s="24" t="str"/>
      <x:c r="M92" s="28" t="n">
        <x:v>1</x:v>
      </x:c>
      <x:c r="N92" s="26" t="n">
        <x:v>567</x:v>
      </x:c>
      <x:c r="O92" s="26" t="n">
        <x:v>72</x:v>
      </x:c>
      <x:c r="P92" s="24" t="str">
        <x:v>是</x:v>
      </x:c>
      <x:c r="Q92" s="24" t="str">
        <x:v>遠端區</x:v>
      </x:c>
      <x:c r="R92" s="26" t="n">
        <x:v>58</x:v>
      </x:c>
      <x:c r="S92" s="24" t="str">
        <x:v>高頻</x:v>
      </x:c>
    </x:row>
    <x:row r="93">
      <x:c r="A93" s="24" t="str">
        <x:v>PX0089</x:v>
      </x:c>
      <x:c r="B93" s="24" t="str">
        <x:v>咖哩塊箱-小包裝</x:v>
      </x:c>
      <x:c r="C93" s="24" t="str">
        <x:v>食品類</x:v>
      </x:c>
      <x:c r="D93" s="24" t="str">
        <x:v>Cluster 5</x:v>
      </x:c>
      <x:c r="E93" s="26" t="n">
        <x:v>136</x:v>
      </x:c>
      <x:c r="F93" s="26" t="n">
        <x:v>84</x:v>
      </x:c>
      <x:c r="G93" s="24" t="str">
        <x:v>小</x:v>
      </x:c>
      <x:c r="H93" s="24" t="str">
        <x:v>中</x:v>
      </x:c>
      <x:c r="I93" s="24" t="str">
        <x:v>否</x:v>
      </x:c>
      <x:c r="J93" s="24" t="str">
        <x:v>否</x:v>
      </x:c>
      <x:c r="K93" s="24" t="str">
        <x:v>否</x:v>
      </x:c>
      <x:c r="L93" s="24" t="str"/>
      <x:c r="M93" s="28" t="n">
        <x:v>1</x:v>
      </x:c>
      <x:c r="N93" s="26" t="n">
        <x:v>415</x:v>
      </x:c>
      <x:c r="O93" s="26" t="n">
        <x:v>80</x:v>
      </x:c>
      <x:c r="P93" s="24" t="str">
        <x:v>是</x:v>
      </x:c>
      <x:c r="Q93" s="24" t="str">
        <x:v>彈性區</x:v>
      </x:c>
      <x:c r="R93" s="26" t="n">
        <x:v>60</x:v>
      </x:c>
      <x:c r="S93" s="24" t="str">
        <x:v>高頻</x:v>
      </x:c>
    </x:row>
    <x:row r="94">
      <x:c r="A94" s="24" t="str">
        <x:v>PX0090</x:v>
      </x:c>
      <x:c r="B94" s="24" t="str">
        <x:v>手套耗材-家庭號</x:v>
      </x:c>
      <x:c r="C94" s="24" t="str">
        <x:v>耗材類</x:v>
      </x:c>
      <x:c r="D94" s="24" t="str">
        <x:v>Cluster 5</x:v>
      </x:c>
      <x:c r="E94" s="26" t="n">
        <x:v>142</x:v>
      </x:c>
      <x:c r="F94" s="26" t="n">
        <x:v>85</x:v>
      </x:c>
      <x:c r="G94" s="24" t="str">
        <x:v>中</x:v>
      </x:c>
      <x:c r="H94" s="24" t="str">
        <x:v>中</x:v>
      </x:c>
      <x:c r="I94" s="24" t="str">
        <x:v>否</x:v>
      </x:c>
      <x:c r="J94" s="24" t="str">
        <x:v>否</x:v>
      </x:c>
      <x:c r="K94" s="24" t="str">
        <x:v>否</x:v>
      </x:c>
      <x:c r="L94" s="24" t="str"/>
      <x:c r="M94" s="28" t="n">
        <x:v>1.1</x:v>
      </x:c>
      <x:c r="N94" s="26" t="n">
        <x:v>321</x:v>
      </x:c>
      <x:c r="O94" s="26" t="n">
        <x:v>80</x:v>
      </x:c>
      <x:c r="P94" s="24" t="str">
        <x:v>是</x:v>
      </x:c>
      <x:c r="Q94" s="24" t="str">
        <x:v>1區</x:v>
      </x:c>
      <x:c r="R94" s="26" t="n">
        <x:v>34</x:v>
      </x:c>
      <x:c r="S94" s="24" t="str">
        <x:v>高頻</x:v>
      </x:c>
    </x:row>
    <x:row r="95">
      <x:c r="A95" s="24" t="str">
        <x:v>PX0091</x:v>
      </x:c>
      <x:c r="B95" s="24" t="str">
        <x:v>尿布箱-補充包</x:v>
      </x:c>
      <x:c r="C95" s="24" t="str">
        <x:v>日用品</x:v>
      </x:c>
      <x:c r="D95" s="24" t="str">
        <x:v>Cluster 2</x:v>
      </x:c>
      <x:c r="E95" s="26" t="n">
        <x:v>24</x:v>
      </x:c>
      <x:c r="F95" s="26" t="n">
        <x:v>15</x:v>
      </x:c>
      <x:c r="G95" s="24" t="str">
        <x:v>大</x:v>
      </x:c>
      <x:c r="H95" s="24" t="str">
        <x:v>輕</x:v>
      </x:c>
      <x:c r="I95" s="24" t="str">
        <x:v>否</x:v>
      </x:c>
      <x:c r="J95" s="24" t="str">
        <x:v>否</x:v>
      </x:c>
      <x:c r="K95" s="24" t="str">
        <x:v>否</x:v>
      </x:c>
      <x:c r="L95" s="24" t="str"/>
      <x:c r="M95" s="28" t="n">
        <x:v>1.1</x:v>
      </x:c>
      <x:c r="N95" s="26" t="n">
        <x:v>119</x:v>
      </x:c>
      <x:c r="O95" s="26" t="n">
        <x:v>30</x:v>
      </x:c>
      <x:c r="P95" s="24" t="str">
        <x:v>是</x:v>
      </x:c>
      <x:c r="Q95" s="24" t="str">
        <x:v>A區</x:v>
      </x:c>
      <x:c r="R95" s="26" t="n">
        <x:v>31</x:v>
      </x:c>
      <x:c r="S95" s="24" t="str">
        <x:v>低頻、體積大</x:v>
      </x:c>
    </x:row>
    <x:row r="96">
      <x:c r="A96" s="24" t="str">
        <x:v>PX0092</x:v>
      </x:c>
      <x:c r="B96" s="24" t="str">
        <x:v>捲筒衛生紙-促銷組</x:v>
      </x:c>
      <x:c r="C96" s="24" t="str">
        <x:v>紙品類</x:v>
      </x:c>
      <x:c r="D96" s="24" t="str">
        <x:v>Cluster 2</x:v>
      </x:c>
      <x:c r="E96" s="26" t="n">
        <x:v>177</x:v>
      </x:c>
      <x:c r="F96" s="26" t="n">
        <x:v>81</x:v>
      </x:c>
      <x:c r="G96" s="24" t="str">
        <x:v>大</x:v>
      </x:c>
      <x:c r="H96" s="24" t="str">
        <x:v>中</x:v>
      </x:c>
      <x:c r="I96" s="24" t="str">
        <x:v>否</x:v>
      </x:c>
      <x:c r="J96" s="24" t="str">
        <x:v>否</x:v>
      </x:c>
      <x:c r="K96" s="24" t="str">
        <x:v>否</x:v>
      </x:c>
      <x:c r="L96" s="24" t="str"/>
      <x:c r="M96" s="28" t="n">
        <x:v>1</x:v>
      </x:c>
      <x:c r="N96" s="26" t="n">
        <x:v>440</x:v>
      </x:c>
      <x:c r="O96" s="26" t="n">
        <x:v>30</x:v>
      </x:c>
      <x:c r="P96" s="24" t="str">
        <x:v>是</x:v>
      </x:c>
      <x:c r="Q96" s="24" t="str">
        <x:v>K區</x:v>
      </x:c>
      <x:c r="R96" s="26" t="n">
        <x:v>47</x:v>
      </x:c>
      <x:c r="S96" s="24" t="str">
        <x:v>高頻、體積大</x:v>
      </x:c>
    </x:row>
    <x:row r="97">
      <x:c r="A97" s="24" t="str">
        <x:v>PX0093</x:v>
      </x:c>
      <x:c r="B97" s="24" t="str">
        <x:v>貓砂10L-促銷組</x:v>
      </x:c>
      <x:c r="C97" s="24" t="str">
        <x:v>寵物用品</x:v>
      </x:c>
      <x:c r="D97" s="24" t="str">
        <x:v>Cluster 3</x:v>
      </x:c>
      <x:c r="E97" s="26" t="n">
        <x:v>123</x:v>
      </x:c>
      <x:c r="F97" s="26" t="n">
        <x:v>87</x:v>
      </x:c>
      <x:c r="G97" s="24" t="str">
        <x:v>大</x:v>
      </x:c>
      <x:c r="H97" s="24" t="str">
        <x:v>重</x:v>
      </x:c>
      <x:c r="I97" s="24" t="str">
        <x:v>否</x:v>
      </x:c>
      <x:c r="J97" s="24" t="str">
        <x:v>否</x:v>
      </x:c>
      <x:c r="K97" s="24" t="str">
        <x:v>否</x:v>
      </x:c>
      <x:c r="L97" s="24" t="str"/>
      <x:c r="M97" s="28" t="n">
        <x:v>1.1</x:v>
      </x:c>
      <x:c r="N97" s="26" t="n">
        <x:v>576</x:v>
      </x:c>
      <x:c r="O97" s="26" t="n">
        <x:v>20</x:v>
      </x:c>
      <x:c r="P97" s="24" t="str">
        <x:v>是</x:v>
      </x:c>
      <x:c r="Q97" s="24" t="str">
        <x:v>彈性區</x:v>
      </x:c>
      <x:c r="R97" s="26" t="n">
        <x:v>64</x:v>
      </x:c>
      <x:c r="S97" s="24" t="str">
        <x:v>高頻、體積大、重物</x:v>
      </x:c>
    </x:row>
    <x:row r="98">
      <x:c r="A98" s="24" t="str">
        <x:v>PX0094</x:v>
      </x:c>
      <x:c r="B98" s="24" t="str">
        <x:v>寵物飼料5kg-促銷組</x:v>
      </x:c>
      <x:c r="C98" s="24" t="str">
        <x:v>寵物用品</x:v>
      </x:c>
      <x:c r="D98" s="24" t="str">
        <x:v>Cluster 2</x:v>
      </x:c>
      <x:c r="E98" s="26" t="n">
        <x:v>134</x:v>
      </x:c>
      <x:c r="F98" s="26" t="n">
        <x:v>53</x:v>
      </x:c>
      <x:c r="G98" s="24" t="str">
        <x:v>大</x:v>
      </x:c>
      <x:c r="H98" s="24" t="str">
        <x:v>重</x:v>
      </x:c>
      <x:c r="I98" s="24" t="str">
        <x:v>否</x:v>
      </x:c>
      <x:c r="J98" s="24" t="str">
        <x:v>否</x:v>
      </x:c>
      <x:c r="K98" s="24" t="str">
        <x:v>否</x:v>
      </x:c>
      <x:c r="L98" s="24" t="str"/>
      <x:c r="M98" s="28" t="n">
        <x:v>1.1</x:v>
      </x:c>
      <x:c r="N98" s="26" t="n">
        <x:v>508</x:v>
      </x:c>
      <x:c r="O98" s="26" t="n">
        <x:v>20</x:v>
      </x:c>
      <x:c r="P98" s="24" t="str">
        <x:v>是</x:v>
      </x:c>
      <x:c r="Q98" s="24" t="str">
        <x:v>K區</x:v>
      </x:c>
      <x:c r="R98" s="26" t="n">
        <x:v>50</x:v>
      </x:c>
      <x:c r="S98" s="24" t="str">
        <x:v>高頻、體積大、重物</x:v>
      </x:c>
    </x:row>
    <x:row r="99">
      <x:c r="A99" s="24" t="str">
        <x:v>PX0095</x:v>
      </x:c>
      <x:c r="B99" s="24" t="str">
        <x:v>手套耗材-補充包</x:v>
      </x:c>
      <x:c r="C99" s="24" t="str">
        <x:v>耗材類</x:v>
      </x:c>
      <x:c r="D99" s="24" t="str">
        <x:v>Cluster 5</x:v>
      </x:c>
      <x:c r="E99" s="26" t="n">
        <x:v>37</x:v>
      </x:c>
      <x:c r="F99" s="26" t="n">
        <x:v>25</x:v>
      </x:c>
      <x:c r="G99" s="24" t="str">
        <x:v>中</x:v>
      </x:c>
      <x:c r="H99" s="24" t="str">
        <x:v>中</x:v>
      </x:c>
      <x:c r="I99" s="24" t="str">
        <x:v>否</x:v>
      </x:c>
      <x:c r="J99" s="24" t="str">
        <x:v>否</x:v>
      </x:c>
      <x:c r="K99" s="24" t="str">
        <x:v>否</x:v>
      </x:c>
      <x:c r="L99" s="24" t="str"/>
      <x:c r="M99" s="28" t="n">
        <x:v>1</x:v>
      </x:c>
      <x:c r="N99" s="26" t="n">
        <x:v>107</x:v>
      </x:c>
      <x:c r="O99" s="26" t="str"/>
      <x:c r="P99" s="24" t="str">
        <x:v>否</x:v>
      </x:c>
      <x:c r="Q99" s="24" t="str">
        <x:v>K區</x:v>
      </x:c>
      <x:c r="R99" s="26" t="n">
        <x:v>39</x:v>
      </x:c>
      <x:c r="S99" s="24" t="str">
        <x:v>中頻</x:v>
      </x:c>
    </x:row>
    <x:row r="100">
      <x:c r="A100" s="24" t="str">
        <x:v>PX0096</x:v>
      </x:c>
      <x:c r="B100" s="24" t="str">
        <x:v>果汁飲料整箱-小包裝</x:v>
      </x:c>
      <x:c r="C100" s="24" t="str">
        <x:v>飲品類</x:v>
      </x:c>
      <x:c r="D100" s="24" t="str">
        <x:v>Cluster 4</x:v>
      </x:c>
      <x:c r="E100" s="26" t="n">
        <x:v>9</x:v>
      </x:c>
      <x:c r="F100" s="26" t="n">
        <x:v>23</x:v>
      </x:c>
      <x:c r="G100" s="24" t="str">
        <x:v>中</x:v>
      </x:c>
      <x:c r="H100" s="24" t="str">
        <x:v>重</x:v>
      </x:c>
      <x:c r="I100" s="24" t="str">
        <x:v>是</x:v>
      </x:c>
      <x:c r="J100" s="24" t="str">
        <x:v>是</x:v>
      </x:c>
      <x:c r="K100" s="24" t="str">
        <x:v>是</x:v>
      </x:c>
      <x:c r="L100" s="24" t="str">
        <x:v>旺季</x:v>
      </x:c>
      <x:c r="M100" s="28" t="n">
        <x:v>1.8</x:v>
      </x:c>
      <x:c r="N100" s="26" t="n">
        <x:v>43</x:v>
      </x:c>
      <x:c r="O100" s="26" t="n">
        <x:v>48</x:v>
      </x:c>
      <x:c r="P100" s="24" t="str">
        <x:v>是</x:v>
      </x:c>
      <x:c r="Q100" s="24" t="str">
        <x:v>1區</x:v>
      </x:c>
      <x:c r="R100" s="26" t="n">
        <x:v>24</x:v>
      </x:c>
      <x:c r="S100" s="24" t="str">
        <x:v>低頻、重物、液體、易碎、季節性</x:v>
      </x:c>
    </x:row>
    <x:row r="101">
      <x:c r="A101" s="24" t="str">
        <x:v>PX0097</x:v>
      </x:c>
      <x:c r="B101" s="24" t="str">
        <x:v>洗衣粉箱-小包裝</x:v>
      </x:c>
      <x:c r="C101" s="24" t="str">
        <x:v>清潔用品</x:v>
      </x:c>
      <x:c r="D101" s="24" t="str">
        <x:v>Cluster 1</x:v>
      </x:c>
      <x:c r="E101" s="26" t="n">
        <x:v>19</x:v>
      </x:c>
      <x:c r="F101" s="26" t="n">
        <x:v>12</x:v>
      </x:c>
      <x:c r="G101" s="24" t="str">
        <x:v>中</x:v>
      </x:c>
      <x:c r="H101" s="24" t="str">
        <x:v>中</x:v>
      </x:c>
      <x:c r="I101" s="24" t="str">
        <x:v>是</x:v>
      </x:c>
      <x:c r="J101" s="24" t="str">
        <x:v>否</x:v>
      </x:c>
      <x:c r="K101" s="24" t="str">
        <x:v>否</x:v>
      </x:c>
      <x:c r="L101" s="24" t="str"/>
      <x:c r="M101" s="28" t="n">
        <x:v>1</x:v>
      </x:c>
      <x:c r="N101" s="26" t="n">
        <x:v>38</x:v>
      </x:c>
      <x:c r="O101" s="26" t="n">
        <x:v>72</x:v>
      </x:c>
      <x:c r="P101" s="24" t="str">
        <x:v>是</x:v>
      </x:c>
      <x:c r="Q101" s="24" t="str">
        <x:v>1區</x:v>
      </x:c>
      <x:c r="R101" s="26" t="n">
        <x:v>23</x:v>
      </x:c>
      <x:c r="S101" s="24" t="str">
        <x:v>低頻、液體</x:v>
      </x:c>
    </x:row>
    <x:row r="102">
      <x:c r="A102" s="24" t="str">
        <x:v>PX0098</x:v>
      </x:c>
      <x:c r="B102" s="24" t="str">
        <x:v>鋁箔紙-小包裝</x:v>
      </x:c>
      <x:c r="C102" s="24" t="str">
        <x:v>家用品</x:v>
      </x:c>
      <x:c r="D102" s="24" t="str">
        <x:v>Cluster 5</x:v>
      </x:c>
      <x:c r="E102" s="26" t="n">
        <x:v>43</x:v>
      </x:c>
      <x:c r="F102" s="26" t="n">
        <x:v>30</x:v>
      </x:c>
      <x:c r="G102" s="24" t="str">
        <x:v>中</x:v>
      </x:c>
      <x:c r="H102" s="24" t="str">
        <x:v>中</x:v>
      </x:c>
      <x:c r="I102" s="24" t="str">
        <x:v>否</x:v>
      </x:c>
      <x:c r="J102" s="24" t="str">
        <x:v>否</x:v>
      </x:c>
      <x:c r="K102" s="24" t="str">
        <x:v>否</x:v>
      </x:c>
      <x:c r="L102" s="24" t="str"/>
      <x:c r="M102" s="28" t="n">
        <x:v>1</x:v>
      </x:c>
      <x:c r="N102" s="26" t="n">
        <x:v>108</x:v>
      </x:c>
      <x:c r="O102" s="26" t="str"/>
      <x:c r="P102" s="24" t="str">
        <x:v>否</x:v>
      </x:c>
      <x:c r="Q102" s="24" t="str">
        <x:v>遠端區</x:v>
      </x:c>
      <x:c r="R102" s="26" t="n">
        <x:v>72</x:v>
      </x:c>
      <x:c r="S102" s="24" t="str">
        <x:v>中頻</x:v>
      </x:c>
    </x:row>
    <x:row r="103">
      <x:c r="A103" s="24" t="str">
        <x:v>PX0099</x:v>
      </x:c>
      <x:c r="B103" s="24" t="str">
        <x:v>防蚊用品-箱裝</x:v>
      </x:c>
      <x:c r="C103" s="24" t="str">
        <x:v>季節商品</x:v>
      </x:c>
      <x:c r="D103" s="24" t="str">
        <x:v>Cluster 4</x:v>
      </x:c>
      <x:c r="E103" s="26" t="n">
        <x:v>35</x:v>
      </x:c>
      <x:c r="F103" s="26" t="n">
        <x:v>15</x:v>
      </x:c>
      <x:c r="G103" s="24" t="str">
        <x:v>小</x:v>
      </x:c>
      <x:c r="H103" s="24" t="str">
        <x:v>輕</x:v>
      </x:c>
      <x:c r="I103" s="24" t="str">
        <x:v>否</x:v>
      </x:c>
      <x:c r="J103" s="24" t="str">
        <x:v>否</x:v>
      </x:c>
      <x:c r="K103" s="24" t="str">
        <x:v>是</x:v>
      </x:c>
      <x:c r="L103" s="24" t="str">
        <x:v>5-8月</x:v>
      </x:c>
      <x:c r="M103" s="28" t="n">
        <x:v>2</x:v>
      </x:c>
      <x:c r="N103" s="26" t="n">
        <x:v>90</x:v>
      </x:c>
      <x:c r="O103" s="26" t="str"/>
      <x:c r="P103" s="24" t="str">
        <x:v>否</x:v>
      </x:c>
      <x:c r="Q103" s="24" t="str">
        <x:v>彈性區</x:v>
      </x:c>
      <x:c r="R103" s="26" t="n">
        <x:v>61</x:v>
      </x:c>
      <x:c r="S103" s="24" t="str">
        <x:v>中頻、季節性</x:v>
      </x:c>
    </x:row>
    <x:row r="104">
      <x:c r="A104" s="24" t="str">
        <x:v>PX0100</x:v>
      </x:c>
      <x:c r="B104" s="24" t="str">
        <x:v>口罩盒-促銷組</x:v>
      </x:c>
      <x:c r="C104" s="24" t="str">
        <x:v>日用品</x:v>
      </x:c>
      <x:c r="D104" s="24" t="str">
        <x:v>Cluster 5</x:v>
      </x:c>
      <x:c r="E104" s="26" t="n">
        <x:v>36</x:v>
      </x:c>
      <x:c r="F104" s="26" t="n">
        <x:v>25</x:v>
      </x:c>
      <x:c r="G104" s="24" t="str">
        <x:v>中</x:v>
      </x:c>
      <x:c r="H104" s="24" t="str">
        <x:v>中</x:v>
      </x:c>
      <x:c r="I104" s="24" t="str">
        <x:v>否</x:v>
      </x:c>
      <x:c r="J104" s="24" t="str">
        <x:v>否</x:v>
      </x:c>
      <x:c r="K104" s="24" t="str">
        <x:v>否</x:v>
      </x:c>
      <x:c r="L104" s="24" t="str"/>
      <x:c r="M104" s="28" t="n">
        <x:v>1</x:v>
      </x:c>
      <x:c r="N104" s="26" t="n">
        <x:v>131</x:v>
      </x:c>
      <x:c r="O104" s="26" t="str"/>
      <x:c r="P104" s="24" t="str">
        <x:v>否</x:v>
      </x:c>
      <x:c r="Q104" s="24" t="str">
        <x:v>A區</x:v>
      </x:c>
      <x:c r="R104" s="26" t="n">
        <x:v>26</x:v>
      </x:c>
      <x:c r="S104" s="24" t="str">
        <x:v>中頻</x:v>
      </x:c>
    </x:row>
    <x:row r="105">
      <x:c r="A105" s="24" t="str">
        <x:v>PX0101</x:v>
      </x:c>
      <x:c r="B105" s="24" t="str">
        <x:v>保鮮膜-標準箱</x:v>
      </x:c>
      <x:c r="C105" s="24" t="str">
        <x:v>家用品</x:v>
      </x:c>
      <x:c r="D105" s="24" t="str">
        <x:v>Cluster 5</x:v>
      </x:c>
      <x:c r="E105" s="26" t="n">
        <x:v>40</x:v>
      </x:c>
      <x:c r="F105" s="26" t="n">
        <x:v>28</x:v>
      </x:c>
      <x:c r="G105" s="24" t="str">
        <x:v>小</x:v>
      </x:c>
      <x:c r="H105" s="24" t="str">
        <x:v>輕</x:v>
      </x:c>
      <x:c r="I105" s="24" t="str">
        <x:v>否</x:v>
      </x:c>
      <x:c r="J105" s="24" t="str">
        <x:v>否</x:v>
      </x:c>
      <x:c r="K105" s="24" t="str">
        <x:v>否</x:v>
      </x:c>
      <x:c r="L105" s="24" t="str"/>
      <x:c r="M105" s="28" t="n">
        <x:v>1</x:v>
      </x:c>
      <x:c r="N105" s="26" t="n">
        <x:v>180</x:v>
      </x:c>
      <x:c r="O105" s="26" t="str"/>
      <x:c r="P105" s="24" t="str">
        <x:v>否</x:v>
      </x:c>
      <x:c r="Q105" s="24" t="str">
        <x:v>彈性區</x:v>
      </x:c>
      <x:c r="R105" s="26" t="n">
        <x:v>47</x:v>
      </x:c>
      <x:c r="S105" s="24" t="str">
        <x:v>中頻</x:v>
      </x:c>
    </x:row>
    <x:row r="106">
      <x:c r="A106" s="24" t="str">
        <x:v>PX0102</x:v>
      </x:c>
      <x:c r="B106" s="24" t="str">
        <x:v>浴廁清潔劑-促銷組</x:v>
      </x:c>
      <x:c r="C106" s="24" t="str">
        <x:v>清潔用品</x:v>
      </x:c>
      <x:c r="D106" s="24" t="str">
        <x:v>Cluster 3</x:v>
      </x:c>
      <x:c r="E106" s="26" t="n">
        <x:v>87</x:v>
      </x:c>
      <x:c r="F106" s="26" t="n">
        <x:v>57</x:v>
      </x:c>
      <x:c r="G106" s="24" t="str">
        <x:v>中</x:v>
      </x:c>
      <x:c r="H106" s="24" t="str">
        <x:v>中</x:v>
      </x:c>
      <x:c r="I106" s="24" t="str">
        <x:v>是</x:v>
      </x:c>
      <x:c r="J106" s="24" t="str">
        <x:v>否</x:v>
      </x:c>
      <x:c r="K106" s="24" t="str">
        <x:v>否</x:v>
      </x:c>
      <x:c r="L106" s="24" t="str"/>
      <x:c r="M106" s="28" t="n">
        <x:v>1</x:v>
      </x:c>
      <x:c r="N106" s="26" t="n">
        <x:v>319</x:v>
      </x:c>
      <x:c r="O106" s="26" t="n">
        <x:v>80</x:v>
      </x:c>
      <x:c r="P106" s="24" t="str">
        <x:v>是</x:v>
      </x:c>
      <x:c r="Q106" s="24" t="str">
        <x:v>K區</x:v>
      </x:c>
      <x:c r="R106" s="26" t="n">
        <x:v>45</x:v>
      </x:c>
      <x:c r="S106" s="24" t="str">
        <x:v>高頻、液體</x:v>
      </x:c>
    </x:row>
    <x:row r="107">
      <x:c r="A107" s="24" t="str">
        <x:v>PX0103</x:v>
      </x:c>
      <x:c r="B107" s="24" t="str">
        <x:v>尿布箱-促銷組</x:v>
      </x:c>
      <x:c r="C107" s="24" t="str">
        <x:v>日用品</x:v>
      </x:c>
      <x:c r="D107" s="24" t="str">
        <x:v>Cluster 2</x:v>
      </x:c>
      <x:c r="E107" s="26" t="n">
        <x:v>50</x:v>
      </x:c>
      <x:c r="F107" s="26" t="n">
        <x:v>33</x:v>
      </x:c>
      <x:c r="G107" s="24" t="str">
        <x:v>大</x:v>
      </x:c>
      <x:c r="H107" s="24" t="str">
        <x:v>重</x:v>
      </x:c>
      <x:c r="I107" s="24" t="str">
        <x:v>否</x:v>
      </x:c>
      <x:c r="J107" s="24" t="str">
        <x:v>否</x:v>
      </x:c>
      <x:c r="K107" s="24" t="str">
        <x:v>否</x:v>
      </x:c>
      <x:c r="L107" s="24" t="str"/>
      <x:c r="M107" s="28" t="n">
        <x:v>1</x:v>
      </x:c>
      <x:c r="N107" s="26" t="n">
        <x:v>104</x:v>
      </x:c>
      <x:c r="O107" s="26" t="n">
        <x:v>18</x:v>
      </x:c>
      <x:c r="P107" s="24" t="str">
        <x:v>是</x:v>
      </x:c>
      <x:c r="Q107" s="24" t="str">
        <x:v>3區</x:v>
      </x:c>
      <x:c r="R107" s="26" t="n">
        <x:v>37</x:v>
      </x:c>
      <x:c r="S107" s="24" t="str">
        <x:v>中頻、體積大、重物</x:v>
      </x:c>
    </x:row>
    <x:row r="108">
      <x:c r="A108" s="24" t="str">
        <x:v>PX0104</x:v>
      </x:c>
      <x:c r="B108" s="24" t="str">
        <x:v>咖啡罐裝整箱-箱裝</x:v>
      </x:c>
      <x:c r="C108" s="24" t="str">
        <x:v>飲品類</x:v>
      </x:c>
      <x:c r="D108" s="24" t="str">
        <x:v>Cluster 1</x:v>
      </x:c>
      <x:c r="E108" s="26" t="n">
        <x:v>40</x:v>
      </x:c>
      <x:c r="F108" s="26" t="n">
        <x:v>26</x:v>
      </x:c>
      <x:c r="G108" s="24" t="str">
        <x:v>小</x:v>
      </x:c>
      <x:c r="H108" s="24" t="str">
        <x:v>中</x:v>
      </x:c>
      <x:c r="I108" s="24" t="str">
        <x:v>是</x:v>
      </x:c>
      <x:c r="J108" s="24" t="str">
        <x:v>否</x:v>
      </x:c>
      <x:c r="K108" s="24" t="str">
        <x:v>否</x:v>
      </x:c>
      <x:c r="L108" s="24" t="str"/>
      <x:c r="M108" s="28" t="n">
        <x:v>1</x:v>
      </x:c>
      <x:c r="N108" s="26" t="n">
        <x:v>111</x:v>
      </x:c>
      <x:c r="O108" s="26" t="n">
        <x:v>80</x:v>
      </x:c>
      <x:c r="P108" s="24" t="str">
        <x:v>是</x:v>
      </x:c>
      <x:c r="Q108" s="24" t="str">
        <x:v>遠端區</x:v>
      </x:c>
      <x:c r="R108" s="26" t="n">
        <x:v>64</x:v>
      </x:c>
      <x:c r="S108" s="24" t="str">
        <x:v>中頻、液體</x:v>
      </x:c>
    </x:row>
    <x:row r="109">
      <x:c r="A109" s="24" t="str">
        <x:v>PX0105</x:v>
      </x:c>
      <x:c r="B109" s="24" t="str">
        <x:v>蛋捲禮盒-補充包</x:v>
      </x:c>
      <x:c r="C109" s="24" t="str">
        <x:v>季節商品</x:v>
      </x:c>
      <x:c r="D109" s="24" t="str">
        <x:v>Cluster 4</x:v>
      </x:c>
      <x:c r="E109" s="26" t="n">
        <x:v>25</x:v>
      </x:c>
      <x:c r="F109" s="26" t="n">
        <x:v>5</x:v>
      </x:c>
      <x:c r="G109" s="24" t="str">
        <x:v>大</x:v>
      </x:c>
      <x:c r="H109" s="24" t="str">
        <x:v>輕</x:v>
      </x:c>
      <x:c r="I109" s="24" t="str">
        <x:v>否</x:v>
      </x:c>
      <x:c r="J109" s="24" t="str">
        <x:v>是</x:v>
      </x:c>
      <x:c r="K109" s="24" t="str">
        <x:v>是</x:v>
      </x:c>
      <x:c r="L109" s="24" t="str">
        <x:v>1-2月</x:v>
      </x:c>
      <x:c r="M109" s="28" t="n">
        <x:v>1.8</x:v>
      </x:c>
      <x:c r="N109" s="26" t="n">
        <x:v>99</x:v>
      </x:c>
      <x:c r="O109" s="26" t="n">
        <x:v>24</x:v>
      </x:c>
      <x:c r="P109" s="24" t="str">
        <x:v>是</x:v>
      </x:c>
      <x:c r="Q109" s="24" t="str">
        <x:v>A區</x:v>
      </x:c>
      <x:c r="R109" s="26" t="n">
        <x:v>35</x:v>
      </x:c>
      <x:c r="S109" s="24" t="str">
        <x:v>低頻、體積大、易碎、季節性</x:v>
      </x:c>
    </x:row>
    <x:row r="110">
      <x:c r="A110" s="24" t="str">
        <x:v>PX0106</x:v>
      </x:c>
      <x:c r="B110" s="24" t="str">
        <x:v>面紙箱-補充包</x:v>
      </x:c>
      <x:c r="C110" s="24" t="str">
        <x:v>紙品類</x:v>
      </x:c>
      <x:c r="D110" s="24" t="str">
        <x:v>Cluster 5</x:v>
      </x:c>
      <x:c r="E110" s="26" t="n">
        <x:v>66</x:v>
      </x:c>
      <x:c r="F110" s="26" t="n">
        <x:v>31</x:v>
      </x:c>
      <x:c r="G110" s="24" t="str">
        <x:v>小</x:v>
      </x:c>
      <x:c r="H110" s="24" t="str">
        <x:v>輕</x:v>
      </x:c>
      <x:c r="I110" s="24" t="str">
        <x:v>否</x:v>
      </x:c>
      <x:c r="J110" s="24" t="str">
        <x:v>否</x:v>
      </x:c>
      <x:c r="K110" s="24" t="str">
        <x:v>否</x:v>
      </x:c>
      <x:c r="L110" s="24" t="str"/>
      <x:c r="M110" s="28" t="n">
        <x:v>1</x:v>
      </x:c>
      <x:c r="N110" s="26" t="n">
        <x:v>167</x:v>
      </x:c>
      <x:c r="O110" s="26" t="n">
        <x:v>60</x:v>
      </x:c>
      <x:c r="P110" s="24" t="str">
        <x:v>是</x:v>
      </x:c>
      <x:c r="Q110" s="24" t="str">
        <x:v>A區</x:v>
      </x:c>
      <x:c r="R110" s="26" t="n">
        <x:v>30</x:v>
      </x:c>
      <x:c r="S110" s="24" t="str">
        <x:v>中頻</x:v>
      </x:c>
    </x:row>
    <x:row r="111">
      <x:c r="A111" s="24" t="str">
        <x:v>PX0107</x:v>
      </x:c>
      <x:c r="B111" s="24" t="str">
        <x:v>罐頭食品-箱裝</x:v>
      </x:c>
      <x:c r="C111" s="24" t="str">
        <x:v>食品類</x:v>
      </x:c>
      <x:c r="D111" s="24" t="str">
        <x:v>Cluster 5</x:v>
      </x:c>
      <x:c r="E111" s="26" t="n">
        <x:v>81</x:v>
      </x:c>
      <x:c r="F111" s="26" t="n">
        <x:v>55</x:v>
      </x:c>
      <x:c r="G111" s="24" t="str">
        <x:v>小</x:v>
      </x:c>
      <x:c r="H111" s="24" t="str">
        <x:v>輕</x:v>
      </x:c>
      <x:c r="I111" s="24" t="str">
        <x:v>否</x:v>
      </x:c>
      <x:c r="J111" s="24" t="str">
        <x:v>否</x:v>
      </x:c>
      <x:c r="K111" s="24" t="str">
        <x:v>否</x:v>
      </x:c>
      <x:c r="L111" s="24" t="str"/>
      <x:c r="M111" s="28" t="n">
        <x:v>1</x:v>
      </x:c>
      <x:c r="N111" s="26" t="n">
        <x:v>191</x:v>
      </x:c>
      <x:c r="O111" s="26" t="n">
        <x:v>72</x:v>
      </x:c>
      <x:c r="P111" s="24" t="str">
        <x:v>是</x:v>
      </x:c>
      <x:c r="Q111" s="24" t="str">
        <x:v>1區</x:v>
      </x:c>
      <x:c r="R111" s="26" t="n">
        <x:v>32</x:v>
      </x:c>
      <x:c r="S111" s="24" t="str">
        <x:v>高頻</x:v>
      </x:c>
    </x:row>
    <x:row r="112">
      <x:c r="A112" s="24" t="str">
        <x:v>PX0108</x:v>
      </x:c>
      <x:c r="B112" s="24" t="str">
        <x:v>保鮮膜-箱裝</x:v>
      </x:c>
      <x:c r="C112" s="24" t="str">
        <x:v>家用品</x:v>
      </x:c>
      <x:c r="D112" s="24" t="str">
        <x:v>Cluster 5</x:v>
      </x:c>
      <x:c r="E112" s="26" t="n">
        <x:v>31</x:v>
      </x:c>
      <x:c r="F112" s="26" t="n">
        <x:v>19</x:v>
      </x:c>
      <x:c r="G112" s="24" t="str">
        <x:v>中</x:v>
      </x:c>
      <x:c r="H112" s="24" t="str">
        <x:v>中</x:v>
      </x:c>
      <x:c r="I112" s="24" t="str">
        <x:v>否</x:v>
      </x:c>
      <x:c r="J112" s="24" t="str">
        <x:v>否</x:v>
      </x:c>
      <x:c r="K112" s="24" t="str">
        <x:v>否</x:v>
      </x:c>
      <x:c r="L112" s="24" t="str"/>
      <x:c r="M112" s="28" t="n">
        <x:v>1</x:v>
      </x:c>
      <x:c r="N112" s="26" t="n">
        <x:v>154</x:v>
      </x:c>
      <x:c r="O112" s="26" t="str"/>
      <x:c r="P112" s="24" t="str">
        <x:v>否</x:v>
      </x:c>
      <x:c r="Q112" s="24" t="str">
        <x:v>3區</x:v>
      </x:c>
      <x:c r="R112" s="26" t="n">
        <x:v>37</x:v>
      </x:c>
      <x:c r="S112" s="24" t="str">
        <x:v>低頻</x:v>
      </x:c>
    </x:row>
    <x:row r="113">
      <x:c r="A113" s="24" t="str">
        <x:v>PX0109</x:v>
      </x:c>
      <x:c r="B113" s="24" t="str">
        <x:v>泡麵箱-促銷組</x:v>
      </x:c>
      <x:c r="C113" s="24" t="str">
        <x:v>食品類</x:v>
      </x:c>
      <x:c r="D113" s="24" t="str">
        <x:v>Cluster 5</x:v>
      </x:c>
      <x:c r="E113" s="26" t="n">
        <x:v>34</x:v>
      </x:c>
      <x:c r="F113" s="26" t="n">
        <x:v>18</x:v>
      </x:c>
      <x:c r="G113" s="24" t="str">
        <x:v>中</x:v>
      </x:c>
      <x:c r="H113" s="24" t="str">
        <x:v>中</x:v>
      </x:c>
      <x:c r="I113" s="24" t="str">
        <x:v>否</x:v>
      </x:c>
      <x:c r="J113" s="24" t="str">
        <x:v>否</x:v>
      </x:c>
      <x:c r="K113" s="24" t="str">
        <x:v>否</x:v>
      </x:c>
      <x:c r="L113" s="24" t="str"/>
      <x:c r="M113" s="28" t="n">
        <x:v>1.1</x:v>
      </x:c>
      <x:c r="N113" s="26" t="n">
        <x:v>144</x:v>
      </x:c>
      <x:c r="O113" s="26" t="str"/>
      <x:c r="P113" s="24" t="str">
        <x:v>否</x:v>
      </x:c>
      <x:c r="Q113" s="24" t="str">
        <x:v>3區</x:v>
      </x:c>
      <x:c r="R113" s="26" t="n">
        <x:v>37</x:v>
      </x:c>
      <x:c r="S113" s="24" t="str">
        <x:v>低頻</x:v>
      </x:c>
    </x:row>
    <x:row r="114">
      <x:c r="A114" s="24" t="str">
        <x:v>PX0110</x:v>
      </x:c>
      <x:c r="B114" s="24" t="str">
        <x:v>洗衣粉箱-標準箱</x:v>
      </x:c>
      <x:c r="C114" s="24" t="str">
        <x:v>清潔用品</x:v>
      </x:c>
      <x:c r="D114" s="24" t="str">
        <x:v>Cluster 1</x:v>
      </x:c>
      <x:c r="E114" s="26" t="n">
        <x:v>23</x:v>
      </x:c>
      <x:c r="F114" s="26" t="n">
        <x:v>10</x:v>
      </x:c>
      <x:c r="G114" s="24" t="str">
        <x:v>中</x:v>
      </x:c>
      <x:c r="H114" s="24" t="str">
        <x:v>中</x:v>
      </x:c>
      <x:c r="I114" s="24" t="str">
        <x:v>是</x:v>
      </x:c>
      <x:c r="J114" s="24" t="str">
        <x:v>否</x:v>
      </x:c>
      <x:c r="K114" s="24" t="str">
        <x:v>否</x:v>
      </x:c>
      <x:c r="L114" s="24" t="str"/>
      <x:c r="M114" s="28" t="n">
        <x:v>1.1</x:v>
      </x:c>
      <x:c r="N114" s="26" t="n">
        <x:v>76</x:v>
      </x:c>
      <x:c r="O114" s="26" t="n">
        <x:v>72</x:v>
      </x:c>
      <x:c r="P114" s="24" t="str">
        <x:v>是</x:v>
      </x:c>
      <x:c r="Q114" s="24" t="str">
        <x:v>1區</x:v>
      </x:c>
      <x:c r="R114" s="26" t="n">
        <x:v>39</x:v>
      </x:c>
      <x:c r="S114" s="24" t="str">
        <x:v>低頻、液體</x:v>
      </x:c>
    </x:row>
    <x:row r="115">
      <x:c r="A115" s="24" t="str">
        <x:v>PX0111</x:v>
      </x:c>
      <x:c r="B115" s="24" t="str">
        <x:v>束帶組-補充包</x:v>
      </x:c>
      <x:c r="C115" s="24" t="str">
        <x:v>耗材類</x:v>
      </x:c>
      <x:c r="D115" s="24" t="str">
        <x:v>Cluster 5</x:v>
      </x:c>
      <x:c r="E115" s="26" t="n">
        <x:v>85</x:v>
      </x:c>
      <x:c r="F115" s="26" t="n">
        <x:v>72</x:v>
      </x:c>
      <x:c r="G115" s="24" t="str">
        <x:v>小</x:v>
      </x:c>
      <x:c r="H115" s="24" t="str">
        <x:v>輕</x:v>
      </x:c>
      <x:c r="I115" s="24" t="str">
        <x:v>否</x:v>
      </x:c>
      <x:c r="J115" s="24" t="str">
        <x:v>否</x:v>
      </x:c>
      <x:c r="K115" s="24" t="str">
        <x:v>否</x:v>
      </x:c>
      <x:c r="L115" s="24" t="str"/>
      <x:c r="M115" s="28" t="n">
        <x:v>1.1</x:v>
      </x:c>
      <x:c r="N115" s="26" t="n">
        <x:v>344</x:v>
      </x:c>
      <x:c r="O115" s="26" t="n">
        <x:v>48</x:v>
      </x:c>
      <x:c r="P115" s="24" t="str">
        <x:v>是</x:v>
      </x:c>
      <x:c r="Q115" s="24" t="str">
        <x:v>彈性區</x:v>
      </x:c>
      <x:c r="R115" s="26" t="n">
        <x:v>52</x:v>
      </x:c>
      <x:c r="S115" s="24" t="str">
        <x:v>高頻</x:v>
      </x:c>
    </x:row>
    <x:row r="116">
      <x:c r="A116" s="24" t="str">
        <x:v>PX0112</x:v>
      </x:c>
      <x:c r="B116" s="24" t="str">
        <x:v>擦手紙箱-補充包</x:v>
      </x:c>
      <x:c r="C116" s="24" t="str">
        <x:v>紙品類</x:v>
      </x:c>
      <x:c r="D116" s="24" t="str">
        <x:v>Cluster 5</x:v>
      </x:c>
      <x:c r="E116" s="26" t="n">
        <x:v>40</x:v>
      </x:c>
      <x:c r="F116" s="26" t="n">
        <x:v>20</x:v>
      </x:c>
      <x:c r="G116" s="24" t="str">
        <x:v>小</x:v>
      </x:c>
      <x:c r="H116" s="24" t="str">
        <x:v>輕</x:v>
      </x:c>
      <x:c r="I116" s="24" t="str">
        <x:v>否</x:v>
      </x:c>
      <x:c r="J116" s="24" t="str">
        <x:v>否</x:v>
      </x:c>
      <x:c r="K116" s="24" t="str">
        <x:v>否</x:v>
      </x:c>
      <x:c r="L116" s="24" t="str"/>
      <x:c r="M116" s="28" t="n">
        <x:v>1</x:v>
      </x:c>
      <x:c r="N116" s="26" t="n">
        <x:v>141</x:v>
      </x:c>
      <x:c r="O116" s="26" t="str"/>
      <x:c r="P116" s="24" t="str">
        <x:v>否</x:v>
      </x:c>
      <x:c r="Q116" s="24" t="str">
        <x:v>遠端區</x:v>
      </x:c>
      <x:c r="R116" s="26" t="n">
        <x:v>70</x:v>
      </x:c>
      <x:c r="S116" s="24" t="str">
        <x:v>中頻</x:v>
      </x:c>
    </x:row>
    <x:row r="117">
      <x:c r="A117" s="24" t="str">
        <x:v>PX0113</x:v>
      </x:c>
      <x:c r="B117" s="24" t="str">
        <x:v>保鮮膜-補充包</x:v>
      </x:c>
      <x:c r="C117" s="24" t="str">
        <x:v>家用品</x:v>
      </x:c>
      <x:c r="D117" s="24" t="str">
        <x:v>Cluster 5</x:v>
      </x:c>
      <x:c r="E117" s="26" t="n">
        <x:v>56</x:v>
      </x:c>
      <x:c r="F117" s="26" t="n">
        <x:v>38</x:v>
      </x:c>
      <x:c r="G117" s="24" t="str">
        <x:v>小</x:v>
      </x:c>
      <x:c r="H117" s="24" t="str">
        <x:v>中</x:v>
      </x:c>
      <x:c r="I117" s="24" t="str">
        <x:v>否</x:v>
      </x:c>
      <x:c r="J117" s="24" t="str">
        <x:v>否</x:v>
      </x:c>
      <x:c r="K117" s="24" t="str">
        <x:v>否</x:v>
      </x:c>
      <x:c r="L117" s="24" t="str"/>
      <x:c r="M117" s="28" t="n">
        <x:v>1</x:v>
      </x:c>
      <x:c r="N117" s="26" t="n">
        <x:v>139</x:v>
      </x:c>
      <x:c r="O117" s="26" t="n">
        <x:v>48</x:v>
      </x:c>
      <x:c r="P117" s="24" t="str">
        <x:v>是</x:v>
      </x:c>
      <x:c r="Q117" s="24" t="str">
        <x:v>遠端區</x:v>
      </x:c>
      <x:c r="R117" s="26" t="n">
        <x:v>63</x:v>
      </x:c>
      <x:c r="S117" s="24" t="str">
        <x:v>中頻</x:v>
      </x:c>
    </x:row>
    <x:row r="118">
      <x:c r="A118" s="24" t="str">
        <x:v>PX0114</x:v>
      </x:c>
      <x:c r="B118" s="24" t="str">
        <x:v>果汁飲料整箱-促銷組</x:v>
      </x:c>
      <x:c r="C118" s="24" t="str">
        <x:v>飲品類</x:v>
      </x:c>
      <x:c r="D118" s="24" t="str">
        <x:v>Cluster 3</x:v>
      </x:c>
      <x:c r="E118" s="26" t="n">
        <x:v>149</x:v>
      </x:c>
      <x:c r="F118" s="26" t="n">
        <x:v>74</x:v>
      </x:c>
      <x:c r="G118" s="24" t="str">
        <x:v>中</x:v>
      </x:c>
      <x:c r="H118" s="24" t="str">
        <x:v>重</x:v>
      </x:c>
      <x:c r="I118" s="24" t="str">
        <x:v>是</x:v>
      </x:c>
      <x:c r="J118" s="24" t="str">
        <x:v>否</x:v>
      </x:c>
      <x:c r="K118" s="24" t="str">
        <x:v>否</x:v>
      </x:c>
      <x:c r="L118" s="24" t="str"/>
      <x:c r="M118" s="28" t="n">
        <x:v>1.2</x:v>
      </x:c>
      <x:c r="N118" s="26" t="n">
        <x:v>440</x:v>
      </x:c>
      <x:c r="O118" s="26" t="n">
        <x:v>36</x:v>
      </x:c>
      <x:c r="P118" s="24" t="str">
        <x:v>是</x:v>
      </x:c>
      <x:c r="Q118" s="24" t="str">
        <x:v>K區</x:v>
      </x:c>
      <x:c r="R118" s="26" t="n">
        <x:v>49</x:v>
      </x:c>
      <x:c r="S118" s="24" t="str">
        <x:v>高頻、重物、液體</x:v>
      </x:c>
    </x:row>
    <x:row r="119">
      <x:c r="A119" s="24" t="str">
        <x:v>PX0115</x:v>
      </x:c>
      <x:c r="B119" s="24" t="str">
        <x:v>備用耗材-家庭號</x:v>
      </x:c>
      <x:c r="C119" s="24" t="str">
        <x:v>耗材類</x:v>
      </x:c>
      <x:c r="D119" s="24" t="str">
        <x:v>Cluster 5</x:v>
      </x:c>
      <x:c r="E119" s="26" t="n">
        <x:v>8</x:v>
      </x:c>
      <x:c r="F119" s="26" t="n">
        <x:v>5</x:v>
      </x:c>
      <x:c r="G119" s="24" t="str">
        <x:v>小</x:v>
      </x:c>
      <x:c r="H119" s="24" t="str">
        <x:v>中</x:v>
      </x:c>
      <x:c r="I119" s="24" t="str">
        <x:v>否</x:v>
      </x:c>
      <x:c r="J119" s="24" t="str">
        <x:v>否</x:v>
      </x:c>
      <x:c r="K119" s="24" t="str">
        <x:v>否</x:v>
      </x:c>
      <x:c r="L119" s="24" t="str"/>
      <x:c r="M119" s="28" t="n">
        <x:v>1</x:v>
      </x:c>
      <x:c r="N119" s="26" t="n">
        <x:v>19</x:v>
      </x:c>
      <x:c r="O119" s="26" t="str"/>
      <x:c r="P119" s="24" t="str">
        <x:v>否</x:v>
      </x:c>
      <x:c r="Q119" s="24" t="str">
        <x:v>遠端區</x:v>
      </x:c>
      <x:c r="R119" s="26" t="n">
        <x:v>72</x:v>
      </x:c>
      <x:c r="S119" s="24" t="str">
        <x:v>低頻</x:v>
      </x:c>
    </x:row>
    <x:row r="120">
      <x:c r="A120" s="24" t="str">
        <x:v>PX0116</x:v>
      </x:c>
      <x:c r="B120" s="24" t="str">
        <x:v>寵物罐頭箱-標準箱</x:v>
      </x:c>
      <x:c r="C120" s="24" t="str">
        <x:v>寵物用品</x:v>
      </x:c>
      <x:c r="D120" s="24" t="str">
        <x:v>Cluster 5</x:v>
      </x:c>
      <x:c r="E120" s="26" t="n">
        <x:v>24</x:v>
      </x:c>
      <x:c r="F120" s="26" t="n">
        <x:v>14</x:v>
      </x:c>
      <x:c r="G120" s="24" t="str">
        <x:v>小</x:v>
      </x:c>
      <x:c r="H120" s="24" t="str">
        <x:v>中</x:v>
      </x:c>
      <x:c r="I120" s="24" t="str">
        <x:v>否</x:v>
      </x:c>
      <x:c r="J120" s="24" t="str">
        <x:v>否</x:v>
      </x:c>
      <x:c r="K120" s="24" t="str">
        <x:v>否</x:v>
      </x:c>
      <x:c r="L120" s="24" t="str"/>
      <x:c r="M120" s="28" t="n">
        <x:v>1</x:v>
      </x:c>
      <x:c r="N120" s="26" t="n">
        <x:v>78</x:v>
      </x:c>
      <x:c r="O120" s="26" t="str"/>
      <x:c r="P120" s="24" t="str">
        <x:v>否</x:v>
      </x:c>
      <x:c r="Q120" s="24" t="str">
        <x:v>彈性區</x:v>
      </x:c>
      <x:c r="R120" s="26" t="n">
        <x:v>60</x:v>
      </x:c>
      <x:c r="S120" s="24" t="str">
        <x:v>低頻</x:v>
      </x:c>
    </x:row>
    <x:row r="121">
      <x:c r="A121" s="24" t="str">
        <x:v>PX0117</x:v>
      </x:c>
      <x:c r="B121" s="24" t="str">
        <x:v>洗衣粉箱-箱裝</x:v>
      </x:c>
      <x:c r="C121" s="24" t="str">
        <x:v>清潔用品</x:v>
      </x:c>
      <x:c r="D121" s="24" t="str">
        <x:v>Cluster 1</x:v>
      </x:c>
      <x:c r="E121" s="26" t="n">
        <x:v>22</x:v>
      </x:c>
      <x:c r="F121" s="26" t="n">
        <x:v>15</x:v>
      </x:c>
      <x:c r="G121" s="24" t="str">
        <x:v>中</x:v>
      </x:c>
      <x:c r="H121" s="24" t="str">
        <x:v>中</x:v>
      </x:c>
      <x:c r="I121" s="24" t="str">
        <x:v>是</x:v>
      </x:c>
      <x:c r="J121" s="24" t="str">
        <x:v>否</x:v>
      </x:c>
      <x:c r="K121" s="24" t="str">
        <x:v>否</x:v>
      </x:c>
      <x:c r="L121" s="24" t="str"/>
      <x:c r="M121" s="28" t="n">
        <x:v>1</x:v>
      </x:c>
      <x:c r="N121" s="26" t="n">
        <x:v>63</x:v>
      </x:c>
      <x:c r="O121" s="26" t="n">
        <x:v>48</x:v>
      </x:c>
      <x:c r="P121" s="24" t="str">
        <x:v>是</x:v>
      </x:c>
      <x:c r="Q121" s="24" t="str">
        <x:v>3區</x:v>
      </x:c>
      <x:c r="R121" s="26" t="n">
        <x:v>46</x:v>
      </x:c>
      <x:c r="S121" s="24" t="str">
        <x:v>低頻、液體</x:v>
      </x:c>
    </x:row>
    <x:row r="122">
      <x:c r="A122" s="24" t="str">
        <x:v>PX0118</x:v>
      </x:c>
      <x:c r="B122" s="24" t="str">
        <x:v>衛生棉組-家庭號</x:v>
      </x:c>
      <x:c r="C122" s="24" t="str">
        <x:v>日用品</x:v>
      </x:c>
      <x:c r="D122" s="24" t="str">
        <x:v>Cluster 5</x:v>
      </x:c>
      <x:c r="E122" s="26" t="n">
        <x:v>46</x:v>
      </x:c>
      <x:c r="F122" s="26" t="n">
        <x:v>32</x:v>
      </x:c>
      <x:c r="G122" s="24" t="str">
        <x:v>小</x:v>
      </x:c>
      <x:c r="H122" s="24" t="str">
        <x:v>中</x:v>
      </x:c>
      <x:c r="I122" s="24" t="str">
        <x:v>否</x:v>
      </x:c>
      <x:c r="J122" s="24" t="str">
        <x:v>否</x:v>
      </x:c>
      <x:c r="K122" s="24" t="str">
        <x:v>否</x:v>
      </x:c>
      <x:c r="L122" s="24" t="str"/>
      <x:c r="M122" s="28" t="n">
        <x:v>1.1</x:v>
      </x:c>
      <x:c r="N122" s="26" t="n">
        <x:v>118</x:v>
      </x:c>
      <x:c r="O122" s="26" t="str"/>
      <x:c r="P122" s="24" t="str">
        <x:v>否</x:v>
      </x:c>
      <x:c r="Q122" s="24" t="str">
        <x:v>彈性區</x:v>
      </x:c>
      <x:c r="R122" s="26" t="n">
        <x:v>46</x:v>
      </x:c>
      <x:c r="S122" s="24" t="str">
        <x:v>中頻</x:v>
      </x:c>
    </x:row>
    <x:row r="123">
      <x:c r="A123" s="24" t="str">
        <x:v>PX0119</x:v>
      </x:c>
      <x:c r="B123" s="24" t="str">
        <x:v>雨衣組-小包裝</x:v>
      </x:c>
      <x:c r="C123" s="24" t="str">
        <x:v>季節商品</x:v>
      </x:c>
      <x:c r="D123" s="24" t="str">
        <x:v>Cluster 4</x:v>
      </x:c>
      <x:c r="E123" s="26" t="n">
        <x:v>49</x:v>
      </x:c>
      <x:c r="F123" s="26" t="n">
        <x:v>8</x:v>
      </x:c>
      <x:c r="G123" s="24" t="str">
        <x:v>小</x:v>
      </x:c>
      <x:c r="H123" s="24" t="str">
        <x:v>重</x:v>
      </x:c>
      <x:c r="I123" s="24" t="str">
        <x:v>否</x:v>
      </x:c>
      <x:c r="J123" s="24" t="str">
        <x:v>否</x:v>
      </x:c>
      <x:c r="K123" s="24" t="str">
        <x:v>是</x:v>
      </x:c>
      <x:c r="L123" s="24" t="str">
        <x:v>5-8月</x:v>
      </x:c>
      <x:c r="M123" s="28" t="n">
        <x:v>1.8</x:v>
      </x:c>
      <x:c r="N123" s="26" t="n">
        <x:v>186</x:v>
      </x:c>
      <x:c r="O123" s="26" t="n">
        <x:v>36</x:v>
      </x:c>
      <x:c r="P123" s="24" t="str">
        <x:v>是</x:v>
      </x:c>
      <x:c r="Q123" s="24" t="str">
        <x:v>K區</x:v>
      </x:c>
      <x:c r="R123" s="26" t="n">
        <x:v>56</x:v>
      </x:c>
      <x:c r="S123" s="24" t="str">
        <x:v>中頻、重物、季節性</x:v>
      </x:c>
    </x:row>
    <x:row r="124">
      <x:c r="A124" s="24" t="str">
        <x:v>PX0120</x:v>
      </x:c>
      <x:c r="B124" s="24" t="str">
        <x:v>備用耗材-箱裝</x:v>
      </x:c>
      <x:c r="C124" s="24" t="str">
        <x:v>耗材類</x:v>
      </x:c>
      <x:c r="D124" s="24" t="str">
        <x:v>Cluster 1</x:v>
      </x:c>
      <x:c r="E124" s="26" t="n">
        <x:v>14</x:v>
      </x:c>
      <x:c r="F124" s="26" t="n">
        <x:v>8</x:v>
      </x:c>
      <x:c r="G124" s="24" t="str">
        <x:v>小</x:v>
      </x:c>
      <x:c r="H124" s="24" t="str">
        <x:v>中</x:v>
      </x:c>
      <x:c r="I124" s="24" t="str">
        <x:v>否</x:v>
      </x:c>
      <x:c r="J124" s="24" t="str">
        <x:v>是</x:v>
      </x:c>
      <x:c r="K124" s="24" t="str">
        <x:v>否</x:v>
      </x:c>
      <x:c r="L124" s="24" t="str"/>
      <x:c r="M124" s="28" t="n">
        <x:v>1.1</x:v>
      </x:c>
      <x:c r="N124" s="26" t="n">
        <x:v>41</x:v>
      </x:c>
      <x:c r="O124" s="26" t="str"/>
      <x:c r="P124" s="24" t="str">
        <x:v>否</x:v>
      </x:c>
      <x:c r="Q124" s="24" t="str">
        <x:v>3區</x:v>
      </x:c>
      <x:c r="R124" s="26" t="n">
        <x:v>42</x:v>
      </x:c>
      <x:c r="S124" s="24" t="str">
        <x:v>低頻、易碎</x:v>
      </x:c>
    </x:row>
    <x:row r="125">
      <x:c r="A125" s="24" t="str">
        <x:v>PX0121</x:v>
      </x:c>
      <x:c r="B125" s="24" t="str">
        <x:v>寵物罐頭箱-補充包</x:v>
      </x:c>
      <x:c r="C125" s="24" t="str">
        <x:v>寵物用品</x:v>
      </x:c>
      <x:c r="D125" s="24" t="str">
        <x:v>Cluster 5</x:v>
      </x:c>
      <x:c r="E125" s="26" t="n">
        <x:v>35</x:v>
      </x:c>
      <x:c r="F125" s="26" t="n">
        <x:v>22</x:v>
      </x:c>
      <x:c r="G125" s="24" t="str">
        <x:v>小</x:v>
      </x:c>
      <x:c r="H125" s="24" t="str">
        <x:v>輕</x:v>
      </x:c>
      <x:c r="I125" s="24" t="str">
        <x:v>否</x:v>
      </x:c>
      <x:c r="J125" s="24" t="str">
        <x:v>否</x:v>
      </x:c>
      <x:c r="K125" s="24" t="str">
        <x:v>否</x:v>
      </x:c>
      <x:c r="L125" s="24" t="str"/>
      <x:c r="M125" s="28" t="n">
        <x:v>1.1</x:v>
      </x:c>
      <x:c r="N125" s="26" t="n">
        <x:v>153</x:v>
      </x:c>
      <x:c r="O125" s="26" t="str"/>
      <x:c r="P125" s="24" t="str">
        <x:v>否</x:v>
      </x:c>
      <x:c r="Q125" s="24" t="str">
        <x:v>3區</x:v>
      </x:c>
      <x:c r="R125" s="26" t="n">
        <x:v>32</x:v>
      </x:c>
      <x:c r="S125" s="24" t="str">
        <x:v>中頻</x:v>
      </x:c>
    </x:row>
    <x:row r="126">
      <x:c r="A126" s="24" t="str">
        <x:v>PX0122</x:v>
      </x:c>
      <x:c r="B126" s="24" t="str">
        <x:v>運動飲料整箱-家庭號</x:v>
      </x:c>
      <x:c r="C126" s="24" t="str">
        <x:v>飲品類</x:v>
      </x:c>
      <x:c r="D126" s="24" t="str">
        <x:v>Cluster 2</x:v>
      </x:c>
      <x:c r="E126" s="26" t="n">
        <x:v>181</x:v>
      </x:c>
      <x:c r="F126" s="26" t="n">
        <x:v>48</x:v>
      </x:c>
      <x:c r="G126" s="24" t="str">
        <x:v>中</x:v>
      </x:c>
      <x:c r="H126" s="24" t="str">
        <x:v>重</x:v>
      </x:c>
      <x:c r="I126" s="24" t="str">
        <x:v>是</x:v>
      </x:c>
      <x:c r="J126" s="24" t="str">
        <x:v>否</x:v>
      </x:c>
      <x:c r="K126" s="24" t="str">
        <x:v>否</x:v>
      </x:c>
      <x:c r="L126" s="24" t="str"/>
      <x:c r="M126" s="28" t="n">
        <x:v>1.5</x:v>
      </x:c>
      <x:c r="N126" s="26" t="n">
        <x:v>740</x:v>
      </x:c>
      <x:c r="O126" s="26" t="n">
        <x:v>40</x:v>
      </x:c>
      <x:c r="P126" s="24" t="str">
        <x:v>是</x:v>
      </x:c>
      <x:c r="Q126" s="24" t="str">
        <x:v>3區</x:v>
      </x:c>
      <x:c r="R126" s="26" t="n">
        <x:v>43</x:v>
      </x:c>
      <x:c r="S126" s="24" t="str">
        <x:v>高頻、重物、液體</x:v>
      </x:c>
    </x:row>
    <x:row r="127">
      <x:c r="A127" s="24" t="str">
        <x:v>PX0123</x:v>
      </x:c>
      <x:c r="B127" s="24" t="str">
        <x:v>玻璃保鮮盒-小包裝</x:v>
      </x:c>
      <x:c r="C127" s="24" t="str">
        <x:v>家用品</x:v>
      </x:c>
      <x:c r="D127" s="24" t="str">
        <x:v>Cluster 1</x:v>
      </x:c>
      <x:c r="E127" s="26" t="n">
        <x:v>15</x:v>
      </x:c>
      <x:c r="F127" s="26" t="n">
        <x:v>9</x:v>
      </x:c>
      <x:c r="G127" s="24" t="str">
        <x:v>中</x:v>
      </x:c>
      <x:c r="H127" s="24" t="str">
        <x:v>中</x:v>
      </x:c>
      <x:c r="I127" s="24" t="str">
        <x:v>否</x:v>
      </x:c>
      <x:c r="J127" s="24" t="str">
        <x:v>是</x:v>
      </x:c>
      <x:c r="K127" s="24" t="str">
        <x:v>否</x:v>
      </x:c>
      <x:c r="L127" s="24" t="str"/>
      <x:c r="M127" s="28" t="n">
        <x:v>1</x:v>
      </x:c>
      <x:c r="N127" s="26" t="n">
        <x:v>54</x:v>
      </x:c>
      <x:c r="O127" s="26" t="str"/>
      <x:c r="P127" s="24" t="str">
        <x:v>否</x:v>
      </x:c>
      <x:c r="Q127" s="24" t="str">
        <x:v>K區</x:v>
      </x:c>
      <x:c r="R127" s="26" t="n">
        <x:v>53</x:v>
      </x:c>
      <x:c r="S127" s="24" t="str">
        <x:v>低頻、易碎</x:v>
      </x:c>
    </x:row>
    <x:row r="128">
      <x:c r="A128" s="24" t="str">
        <x:v>PX0124</x:v>
      </x:c>
      <x:c r="B128" s="24" t="str">
        <x:v>洗衣粉箱-小包裝</x:v>
      </x:c>
      <x:c r="C128" s="24" t="str">
        <x:v>清潔用品</x:v>
      </x:c>
      <x:c r="D128" s="24" t="str">
        <x:v>Cluster 3</x:v>
      </x:c>
      <x:c r="E128" s="26" t="n">
        <x:v>182</x:v>
      </x:c>
      <x:c r="F128" s="26" t="n">
        <x:v>74</x:v>
      </x:c>
      <x:c r="G128" s="24" t="str">
        <x:v>中</x:v>
      </x:c>
      <x:c r="H128" s="24" t="str">
        <x:v>中</x:v>
      </x:c>
      <x:c r="I128" s="24" t="str">
        <x:v>是</x:v>
      </x:c>
      <x:c r="J128" s="24" t="str">
        <x:v>否</x:v>
      </x:c>
      <x:c r="K128" s="24" t="str">
        <x:v>否</x:v>
      </x:c>
      <x:c r="L128" s="24" t="str"/>
      <x:c r="M128" s="28" t="n">
        <x:v>1</x:v>
      </x:c>
      <x:c r="N128" s="26" t="n">
        <x:v>371</x:v>
      </x:c>
      <x:c r="O128" s="26" t="n">
        <x:v>72</x:v>
      </x:c>
      <x:c r="P128" s="24" t="str">
        <x:v>是</x:v>
      </x:c>
      <x:c r="Q128" s="24" t="str">
        <x:v>3區</x:v>
      </x:c>
      <x:c r="R128" s="26" t="n">
        <x:v>32</x:v>
      </x:c>
      <x:c r="S128" s="24" t="str">
        <x:v>高頻、液體</x:v>
      </x:c>
    </x:row>
    <x:row r="129">
      <x:c r="A129" s="24" t="str">
        <x:v>PX0125</x:v>
      </x:c>
      <x:c r="B129" s="24" t="str">
        <x:v>成人紙尿褲-小包裝</x:v>
      </x:c>
      <x:c r="C129" s="24" t="str">
        <x:v>日用品</x:v>
      </x:c>
      <x:c r="D129" s="24" t="str">
        <x:v>Cluster 2</x:v>
      </x:c>
      <x:c r="E129" s="26" t="n">
        <x:v>66</x:v>
      </x:c>
      <x:c r="F129" s="26" t="n">
        <x:v>31</x:v>
      </x:c>
      <x:c r="G129" s="24" t="str">
        <x:v>大</x:v>
      </x:c>
      <x:c r="H129" s="24" t="str">
        <x:v>輕</x:v>
      </x:c>
      <x:c r="I129" s="24" t="str">
        <x:v>否</x:v>
      </x:c>
      <x:c r="J129" s="24" t="str">
        <x:v>否</x:v>
      </x:c>
      <x:c r="K129" s="24" t="str">
        <x:v>否</x:v>
      </x:c>
      <x:c r="L129" s="24" t="str"/>
      <x:c r="M129" s="28" t="n">
        <x:v>1</x:v>
      </x:c>
      <x:c r="N129" s="26" t="n">
        <x:v>286</x:v>
      </x:c>
      <x:c r="O129" s="26" t="n">
        <x:v>30</x:v>
      </x:c>
      <x:c r="P129" s="24" t="str">
        <x:v>是</x:v>
      </x:c>
      <x:c r="Q129" s="24" t="str">
        <x:v>K區</x:v>
      </x:c>
      <x:c r="R129" s="26" t="n">
        <x:v>47</x:v>
      </x:c>
      <x:c r="S129" s="24" t="str">
        <x:v>中頻、體積大</x:v>
      </x:c>
    </x:row>
    <x:row r="130">
      <x:c r="A130" s="24" t="str">
        <x:v>PX0126</x:v>
      </x:c>
      <x:c r="B130" s="24" t="str">
        <x:v>保鮮膜-標準箱</x:v>
      </x:c>
      <x:c r="C130" s="24" t="str">
        <x:v>家用品</x:v>
      </x:c>
      <x:c r="D130" s="24" t="str">
        <x:v>Cluster 5</x:v>
      </x:c>
      <x:c r="E130" s="26" t="n">
        <x:v>157</x:v>
      </x:c>
      <x:c r="F130" s="26" t="n">
        <x:v>76</x:v>
      </x:c>
      <x:c r="G130" s="24" t="str">
        <x:v>中</x:v>
      </x:c>
      <x:c r="H130" s="24" t="str">
        <x:v>中</x:v>
      </x:c>
      <x:c r="I130" s="24" t="str">
        <x:v>否</x:v>
      </x:c>
      <x:c r="J130" s="24" t="str">
        <x:v>否</x:v>
      </x:c>
      <x:c r="K130" s="24" t="str">
        <x:v>否</x:v>
      </x:c>
      <x:c r="L130" s="24" t="str"/>
      <x:c r="M130" s="28" t="n">
        <x:v>1</x:v>
      </x:c>
      <x:c r="N130" s="26" t="n">
        <x:v>747</x:v>
      </x:c>
      <x:c r="O130" s="26" t="n">
        <x:v>60</x:v>
      </x:c>
      <x:c r="P130" s="24" t="str">
        <x:v>是</x:v>
      </x:c>
      <x:c r="Q130" s="24" t="str">
        <x:v>3區</x:v>
      </x:c>
      <x:c r="R130" s="26" t="n">
        <x:v>41</x:v>
      </x:c>
      <x:c r="S130" s="24" t="str">
        <x:v>高頻</x:v>
      </x:c>
    </x:row>
    <x:row r="131">
      <x:c r="A131" s="24" t="str">
        <x:v>PX0127</x:v>
      </x:c>
      <x:c r="B131" s="24" t="str">
        <x:v>牙膏組-小包裝</x:v>
      </x:c>
      <x:c r="C131" s="24" t="str">
        <x:v>日用品</x:v>
      </x:c>
      <x:c r="D131" s="24" t="str">
        <x:v>Cluster 5</x:v>
      </x:c>
      <x:c r="E131" s="26" t="n">
        <x:v>126</x:v>
      </x:c>
      <x:c r="F131" s="26" t="n">
        <x:v>53</x:v>
      </x:c>
      <x:c r="G131" s="24" t="str">
        <x:v>小</x:v>
      </x:c>
      <x:c r="H131" s="24" t="str">
        <x:v>中</x:v>
      </x:c>
      <x:c r="I131" s="24" t="str">
        <x:v>否</x:v>
      </x:c>
      <x:c r="J131" s="24" t="str">
        <x:v>否</x:v>
      </x:c>
      <x:c r="K131" s="24" t="str">
        <x:v>否</x:v>
      </x:c>
      <x:c r="L131" s="24" t="str"/>
      <x:c r="M131" s="28" t="n">
        <x:v>1</x:v>
      </x:c>
      <x:c r="N131" s="26" t="n">
        <x:v>334</x:v>
      </x:c>
      <x:c r="O131" s="26" t="n">
        <x:v>60</x:v>
      </x:c>
      <x:c r="P131" s="24" t="str">
        <x:v>是</x:v>
      </x:c>
      <x:c r="Q131" s="24" t="str">
        <x:v>A區</x:v>
      </x:c>
      <x:c r="R131" s="26" t="n">
        <x:v>27</x:v>
      </x:c>
      <x:c r="S131" s="24" t="str">
        <x:v>高頻</x:v>
      </x:c>
    </x:row>
    <x:row r="132">
      <x:c r="A132" s="24" t="str">
        <x:v>PX0128</x:v>
      </x:c>
      <x:c r="B132" s="24" t="str">
        <x:v>寵物尿布墊-箱裝</x:v>
      </x:c>
      <x:c r="C132" s="24" t="str">
        <x:v>寵物用品</x:v>
      </x:c>
      <x:c r="D132" s="24" t="str">
        <x:v>Cluster 2</x:v>
      </x:c>
      <x:c r="E132" s="26" t="n">
        <x:v>66</x:v>
      </x:c>
      <x:c r="F132" s="26" t="n">
        <x:v>48</x:v>
      </x:c>
      <x:c r="G132" s="24" t="str">
        <x:v>大</x:v>
      </x:c>
      <x:c r="H132" s="24" t="str">
        <x:v>輕</x:v>
      </x:c>
      <x:c r="I132" s="24" t="str">
        <x:v>否</x:v>
      </x:c>
      <x:c r="J132" s="24" t="str">
        <x:v>否</x:v>
      </x:c>
      <x:c r="K132" s="24" t="str">
        <x:v>否</x:v>
      </x:c>
      <x:c r="L132" s="24" t="str"/>
      <x:c r="M132" s="28" t="n">
        <x:v>1</x:v>
      </x:c>
      <x:c r="N132" s="26" t="n">
        <x:v>289</x:v>
      </x:c>
      <x:c r="O132" s="26" t="n">
        <x:v>18</x:v>
      </x:c>
      <x:c r="P132" s="24" t="str">
        <x:v>是</x:v>
      </x:c>
      <x:c r="Q132" s="24" t="str">
        <x:v>3區</x:v>
      </x:c>
      <x:c r="R132" s="26" t="n">
        <x:v>44</x:v>
      </x:c>
      <x:c r="S132" s="24" t="str">
        <x:v>中頻、體積大</x:v>
      </x:c>
    </x:row>
    <x:row r="133">
      <x:c r="A133" s="24" t="str">
        <x:v>PX0129</x:v>
      </x:c>
      <x:c r="B133" s="24" t="str">
        <x:v>衣架組-箱裝</x:v>
      </x:c>
      <x:c r="C133" s="24" t="str">
        <x:v>家用品</x:v>
      </x:c>
      <x:c r="D133" s="24" t="str">
        <x:v>Cluster 5</x:v>
      </x:c>
      <x:c r="E133" s="26" t="n">
        <x:v>38</x:v>
      </x:c>
      <x:c r="F133" s="26" t="n">
        <x:v>23</x:v>
      </x:c>
      <x:c r="G133" s="24" t="str">
        <x:v>小</x:v>
      </x:c>
      <x:c r="H133" s="24" t="str">
        <x:v>輕</x:v>
      </x:c>
      <x:c r="I133" s="24" t="str">
        <x:v>否</x:v>
      </x:c>
      <x:c r="J133" s="24" t="str">
        <x:v>否</x:v>
      </x:c>
      <x:c r="K133" s="24" t="str">
        <x:v>否</x:v>
      </x:c>
      <x:c r="L133" s="24" t="str"/>
      <x:c r="M133" s="28" t="n">
        <x:v>1</x:v>
      </x:c>
      <x:c r="N133" s="26" t="n">
        <x:v>128</x:v>
      </x:c>
      <x:c r="O133" s="26" t="str"/>
      <x:c r="P133" s="24" t="str">
        <x:v>否</x:v>
      </x:c>
      <x:c r="Q133" s="24" t="str">
        <x:v>彈性區</x:v>
      </x:c>
      <x:c r="R133" s="26" t="n">
        <x:v>64</x:v>
      </x:c>
      <x:c r="S133" s="24" t="str">
        <x:v>中頻</x:v>
      </x:c>
    </x:row>
    <x:row r="134">
      <x:c r="A134" s="24" t="str">
        <x:v>PX0130</x:v>
      </x:c>
      <x:c r="B134" s="24" t="str">
        <x:v>寵物尿布墊-箱裝</x:v>
      </x:c>
      <x:c r="C134" s="24" t="str">
        <x:v>寵物用品</x:v>
      </x:c>
      <x:c r="D134" s="24" t="str">
        <x:v>Cluster 2</x:v>
      </x:c>
      <x:c r="E134" s="26" t="n">
        <x:v>43</x:v>
      </x:c>
      <x:c r="F134" s="26" t="n">
        <x:v>27</x:v>
      </x:c>
      <x:c r="G134" s="24" t="str">
        <x:v>大</x:v>
      </x:c>
      <x:c r="H134" s="24" t="str">
        <x:v>中</x:v>
      </x:c>
      <x:c r="I134" s="24" t="str">
        <x:v>否</x:v>
      </x:c>
      <x:c r="J134" s="24" t="str">
        <x:v>否</x:v>
      </x:c>
      <x:c r="K134" s="24" t="str">
        <x:v>否</x:v>
      </x:c>
      <x:c r="L134" s="24" t="str"/>
      <x:c r="M134" s="28" t="n">
        <x:v>1</x:v>
      </x:c>
      <x:c r="N134" s="26" t="n">
        <x:v>191</x:v>
      </x:c>
      <x:c r="O134" s="26" t="n">
        <x:v>18</x:v>
      </x:c>
      <x:c r="P134" s="24" t="str">
        <x:v>是</x:v>
      </x:c>
      <x:c r="Q134" s="24" t="str">
        <x:v>A區</x:v>
      </x:c>
      <x:c r="R134" s="26" t="n">
        <x:v>22</x:v>
      </x:c>
      <x:c r="S134" s="24" t="str">
        <x:v>中頻、體積大</x:v>
      </x:c>
    </x:row>
    <x:row r="135">
      <x:c r="A135" s="24" t="str">
        <x:v>PX0131</x:v>
      </x:c>
      <x:c r="B135" s="24" t="str">
        <x:v>家庭號礦泉水-箱裝</x:v>
      </x:c>
      <x:c r="C135" s="24" t="str">
        <x:v>飲品類</x:v>
      </x:c>
      <x:c r="D135" s="24" t="str">
        <x:v>Cluster 2</x:v>
      </x:c>
      <x:c r="E135" s="26" t="n">
        <x:v>74</x:v>
      </x:c>
      <x:c r="F135" s="26" t="n">
        <x:v>42</x:v>
      </x:c>
      <x:c r="G135" s="24" t="str">
        <x:v>中</x:v>
      </x:c>
      <x:c r="H135" s="24" t="str">
        <x:v>重</x:v>
      </x:c>
      <x:c r="I135" s="24" t="str">
        <x:v>是</x:v>
      </x:c>
      <x:c r="J135" s="24" t="str">
        <x:v>否</x:v>
      </x:c>
      <x:c r="K135" s="24" t="str">
        <x:v>否</x:v>
      </x:c>
      <x:c r="L135" s="24" t="str"/>
      <x:c r="M135" s="28" t="n">
        <x:v>1.3</x:v>
      </x:c>
      <x:c r="N135" s="26" t="n">
        <x:v>225</x:v>
      </x:c>
      <x:c r="O135" s="26" t="n">
        <x:v>40</x:v>
      </x:c>
      <x:c r="P135" s="24" t="str">
        <x:v>是</x:v>
      </x:c>
      <x:c r="Q135" s="24" t="str">
        <x:v>彈性區</x:v>
      </x:c>
      <x:c r="R135" s="26" t="n">
        <x:v>64</x:v>
      </x:c>
      <x:c r="S135" s="24" t="str">
        <x:v>中頻、重物、液體</x:v>
      </x:c>
    </x:row>
    <x:row r="136">
      <x:c r="A136" s="24" t="str">
        <x:v>PX0132</x:v>
      </x:c>
      <x:c r="B136" s="24" t="str">
        <x:v>保鮮膜-標準箱</x:v>
      </x:c>
      <x:c r="C136" s="24" t="str">
        <x:v>家用品</x:v>
      </x:c>
      <x:c r="D136" s="24" t="str">
        <x:v>Cluster 5</x:v>
      </x:c>
      <x:c r="E136" s="26" t="n">
        <x:v>52</x:v>
      </x:c>
      <x:c r="F136" s="26" t="n">
        <x:v>31</x:v>
      </x:c>
      <x:c r="G136" s="24" t="str">
        <x:v>小</x:v>
      </x:c>
      <x:c r="H136" s="24" t="str">
        <x:v>輕</x:v>
      </x:c>
      <x:c r="I136" s="24" t="str">
        <x:v>否</x:v>
      </x:c>
      <x:c r="J136" s="24" t="str">
        <x:v>否</x:v>
      </x:c>
      <x:c r="K136" s="24" t="str">
        <x:v>否</x:v>
      </x:c>
      <x:c r="L136" s="24" t="str"/>
      <x:c r="M136" s="28" t="n">
        <x:v>1</x:v>
      </x:c>
      <x:c r="N136" s="26" t="n">
        <x:v>231</x:v>
      </x:c>
      <x:c r="O136" s="26" t="str"/>
      <x:c r="P136" s="24" t="str">
        <x:v>否</x:v>
      </x:c>
      <x:c r="Q136" s="24" t="str">
        <x:v>彈性區</x:v>
      </x:c>
      <x:c r="R136" s="26" t="n">
        <x:v>48</x:v>
      </x:c>
      <x:c r="S136" s="24" t="str">
        <x:v>中頻</x:v>
      </x:c>
    </x:row>
    <x:row r="137">
      <x:c r="A137" s="24" t="str">
        <x:v>PX0133</x:v>
      </x:c>
      <x:c r="B137" s="24" t="str">
        <x:v>備用耗材-小包裝</x:v>
      </x:c>
      <x:c r="C137" s="24" t="str">
        <x:v>耗材類</x:v>
      </x:c>
      <x:c r="D137" s="24" t="str">
        <x:v>Cluster 2</x:v>
      </x:c>
      <x:c r="E137" s="26" t="n">
        <x:v>21</x:v>
      </x:c>
      <x:c r="F137" s="26" t="n">
        <x:v>14</x:v>
      </x:c>
      <x:c r="G137" s="24" t="str">
        <x:v>大</x:v>
      </x:c>
      <x:c r="H137" s="24" t="str">
        <x:v>輕</x:v>
      </x:c>
      <x:c r="I137" s="24" t="str">
        <x:v>否</x:v>
      </x:c>
      <x:c r="J137" s="24" t="str">
        <x:v>否</x:v>
      </x:c>
      <x:c r="K137" s="24" t="str">
        <x:v>否</x:v>
      </x:c>
      <x:c r="L137" s="24" t="str"/>
      <x:c r="M137" s="28" t="n">
        <x:v>1</x:v>
      </x:c>
      <x:c r="N137" s="26" t="n">
        <x:v>86</x:v>
      </x:c>
      <x:c r="O137" s="26" t="n">
        <x:v>18</x:v>
      </x:c>
      <x:c r="P137" s="24" t="str">
        <x:v>是</x:v>
      </x:c>
      <x:c r="Q137" s="24" t="str">
        <x:v>1區</x:v>
      </x:c>
      <x:c r="R137" s="26" t="n">
        <x:v>44</x:v>
      </x:c>
      <x:c r="S137" s="24" t="str">
        <x:v>低頻、體積大</x:v>
      </x:c>
    </x:row>
    <x:row r="138">
      <x:c r="A138" s="24" t="str">
        <x:v>PX0134</x:v>
      </x:c>
      <x:c r="B138" s="24" t="str">
        <x:v>漂白水-家庭號</x:v>
      </x:c>
      <x:c r="C138" s="24" t="str">
        <x:v>清潔用品</x:v>
      </x:c>
      <x:c r="D138" s="24" t="str">
        <x:v>Cluster 1</x:v>
      </x:c>
      <x:c r="E138" s="26" t="n">
        <x:v>23</x:v>
      </x:c>
      <x:c r="F138" s="26" t="n">
        <x:v>17</x:v>
      </x:c>
      <x:c r="G138" s="24" t="str">
        <x:v>中</x:v>
      </x:c>
      <x:c r="H138" s="24" t="str">
        <x:v>重</x:v>
      </x:c>
      <x:c r="I138" s="24" t="str">
        <x:v>是</x:v>
      </x:c>
      <x:c r="J138" s="24" t="str">
        <x:v>否</x:v>
      </x:c>
      <x:c r="K138" s="24" t="str">
        <x:v>否</x:v>
      </x:c>
      <x:c r="L138" s="24" t="str"/>
      <x:c r="M138" s="28" t="n">
        <x:v>1.5</x:v>
      </x:c>
      <x:c r="N138" s="26" t="n">
        <x:v>102</x:v>
      </x:c>
      <x:c r="O138" s="26" t="n">
        <x:v>36</x:v>
      </x:c>
      <x:c r="P138" s="24" t="str">
        <x:v>是</x:v>
      </x:c>
      <x:c r="Q138" s="24" t="str">
        <x:v>遠端區</x:v>
      </x:c>
      <x:c r="R138" s="26" t="n">
        <x:v>55</x:v>
      </x:c>
      <x:c r="S138" s="24" t="str">
        <x:v>低頻、重物、液體</x:v>
      </x:c>
    </x:row>
    <x:row r="139">
      <x:c r="A139" s="24" t="str">
        <x:v>PX0135</x:v>
      </x:c>
      <x:c r="B139" s="24" t="str">
        <x:v>廚房紙巾-家庭號</x:v>
      </x:c>
      <x:c r="C139" s="24" t="str">
        <x:v>紙品類</x:v>
      </x:c>
      <x:c r="D139" s="24" t="str">
        <x:v>Cluster 2</x:v>
      </x:c>
      <x:c r="E139" s="26" t="n">
        <x:v>58</x:v>
      </x:c>
      <x:c r="F139" s="26" t="n">
        <x:v>35</x:v>
      </x:c>
      <x:c r="G139" s="24" t="str">
        <x:v>大</x:v>
      </x:c>
      <x:c r="H139" s="24" t="str">
        <x:v>輕</x:v>
      </x:c>
      <x:c r="I139" s="24" t="str">
        <x:v>否</x:v>
      </x:c>
      <x:c r="J139" s="24" t="str">
        <x:v>是</x:v>
      </x:c>
      <x:c r="K139" s="24" t="str">
        <x:v>否</x:v>
      </x:c>
      <x:c r="L139" s="24" t="str"/>
      <x:c r="M139" s="28" t="n">
        <x:v>1</x:v>
      </x:c>
      <x:c r="N139" s="26" t="n">
        <x:v>265</x:v>
      </x:c>
      <x:c r="O139" s="26" t="n">
        <x:v>20</x:v>
      </x:c>
      <x:c r="P139" s="24" t="str">
        <x:v>是</x:v>
      </x:c>
      <x:c r="Q139" s="24" t="str">
        <x:v>彈性區</x:v>
      </x:c>
      <x:c r="R139" s="26" t="n">
        <x:v>63</x:v>
      </x:c>
      <x:c r="S139" s="24" t="str">
        <x:v>中頻、體積大、易碎</x:v>
      </x:c>
    </x:row>
    <x:row r="140">
      <x:c r="A140" s="24" t="str">
        <x:v>PX0136</x:v>
      </x:c>
      <x:c r="B140" s="24" t="str">
        <x:v>運動飲料整箱-箱裝</x:v>
      </x:c>
      <x:c r="C140" s="24" t="str">
        <x:v>飲品類</x:v>
      </x:c>
      <x:c r="D140" s="24" t="str">
        <x:v>Cluster 2</x:v>
      </x:c>
      <x:c r="E140" s="26" t="n">
        <x:v>89</x:v>
      </x:c>
      <x:c r="F140" s="26" t="n">
        <x:v>53</x:v>
      </x:c>
      <x:c r="G140" s="24" t="str">
        <x:v>中</x:v>
      </x:c>
      <x:c r="H140" s="24" t="str">
        <x:v>重</x:v>
      </x:c>
      <x:c r="I140" s="24" t="str">
        <x:v>是</x:v>
      </x:c>
      <x:c r="J140" s="24" t="str">
        <x:v>否</x:v>
      </x:c>
      <x:c r="K140" s="24" t="str">
        <x:v>否</x:v>
      </x:c>
      <x:c r="L140" s="24" t="str"/>
      <x:c r="M140" s="28" t="n">
        <x:v>1.5</x:v>
      </x:c>
      <x:c r="N140" s="26" t="n">
        <x:v>238</x:v>
      </x:c>
      <x:c r="O140" s="26" t="n">
        <x:v>36</x:v>
      </x:c>
      <x:c r="P140" s="24" t="str">
        <x:v>是</x:v>
      </x:c>
      <x:c r="Q140" s="24" t="str">
        <x:v>K區</x:v>
      </x:c>
      <x:c r="R140" s="26" t="n">
        <x:v>53</x:v>
      </x:c>
      <x:c r="S140" s="24" t="str">
        <x:v>高頻、重物、液體</x:v>
      </x:c>
    </x:row>
    <x:row r="141">
      <x:c r="A141" s="24" t="str">
        <x:v>PX0137</x:v>
      </x:c>
      <x:c r="B141" s="24" t="str">
        <x:v>運動飲料整箱-小包裝</x:v>
      </x:c>
      <x:c r="C141" s="24" t="str">
        <x:v>飲品類</x:v>
      </x:c>
      <x:c r="D141" s="24" t="str">
        <x:v>Cluster 2</x:v>
      </x:c>
      <x:c r="E141" s="26" t="n">
        <x:v>157</x:v>
      </x:c>
      <x:c r="F141" s="26" t="n">
        <x:v>54</x:v>
      </x:c>
      <x:c r="G141" s="24" t="str">
        <x:v>中</x:v>
      </x:c>
      <x:c r="H141" s="24" t="str">
        <x:v>重</x:v>
      </x:c>
      <x:c r="I141" s="24" t="str">
        <x:v>是</x:v>
      </x:c>
      <x:c r="J141" s="24" t="str">
        <x:v>否</x:v>
      </x:c>
      <x:c r="K141" s="24" t="str">
        <x:v>否</x:v>
      </x:c>
      <x:c r="L141" s="24" t="str"/>
      <x:c r="M141" s="28" t="n">
        <x:v>1.2</x:v>
      </x:c>
      <x:c r="N141" s="26" t="n">
        <x:v>375</x:v>
      </x:c>
      <x:c r="O141" s="26" t="n">
        <x:v>32</x:v>
      </x:c>
      <x:c r="P141" s="24" t="str">
        <x:v>是</x:v>
      </x:c>
      <x:c r="Q141" s="24" t="str">
        <x:v>A區</x:v>
      </x:c>
      <x:c r="R141" s="26" t="n">
        <x:v>22</x:v>
      </x:c>
      <x:c r="S141" s="24" t="str">
        <x:v>高頻、重物、液體</x:v>
      </x:c>
    </x:row>
    <x:row r="142">
      <x:c r="A142" s="24" t="str">
        <x:v>PX0138</x:v>
      </x:c>
      <x:c r="B142" s="24" t="str">
        <x:v>端午禮盒-箱裝</x:v>
      </x:c>
      <x:c r="C142" s="24" t="str">
        <x:v>季節商品</x:v>
      </x:c>
      <x:c r="D142" s="24" t="str">
        <x:v>Cluster 4</x:v>
      </x:c>
      <x:c r="E142" s="26" t="n">
        <x:v>46</x:v>
      </x:c>
      <x:c r="F142" s="26" t="n">
        <x:v>17</x:v>
      </x:c>
      <x:c r="G142" s="24" t="str">
        <x:v>大</x:v>
      </x:c>
      <x:c r="H142" s="24" t="str">
        <x:v>輕</x:v>
      </x:c>
      <x:c r="I142" s="24" t="str">
        <x:v>否</x:v>
      </x:c>
      <x:c r="J142" s="24" t="str">
        <x:v>是</x:v>
      </x:c>
      <x:c r="K142" s="24" t="str">
        <x:v>是</x:v>
      </x:c>
      <x:c r="L142" s="24" t="str">
        <x:v>1-2月</x:v>
      </x:c>
      <x:c r="M142" s="28" t="n">
        <x:v>3</x:v>
      </x:c>
      <x:c r="N142" s="26" t="n">
        <x:v>187</x:v>
      </x:c>
      <x:c r="O142" s="26" t="n">
        <x:v>18</x:v>
      </x:c>
      <x:c r="P142" s="24" t="str">
        <x:v>是</x:v>
      </x:c>
      <x:c r="Q142" s="24" t="str">
        <x:v>A區</x:v>
      </x:c>
      <x:c r="R142" s="26" t="n">
        <x:v>21</x:v>
      </x:c>
      <x:c r="S142" s="24" t="str">
        <x:v>中頻、體積大、易碎、季節性</x:v>
      </x:c>
    </x:row>
    <x:row r="143">
      <x:c r="A143" s="24" t="str">
        <x:v>PX0139</x:v>
      </x:c>
      <x:c r="B143" s="24" t="str">
        <x:v>乾電池組-促銷組</x:v>
      </x:c>
      <x:c r="C143" s="24" t="str">
        <x:v>耗材類</x:v>
      </x:c>
      <x:c r="D143" s="24" t="str">
        <x:v>Cluster 5</x:v>
      </x:c>
      <x:c r="E143" s="26" t="n">
        <x:v>90</x:v>
      </x:c>
      <x:c r="F143" s="26" t="n">
        <x:v>47</x:v>
      </x:c>
      <x:c r="G143" s="24" t="str">
        <x:v>小</x:v>
      </x:c>
      <x:c r="H143" s="24" t="str">
        <x:v>輕</x:v>
      </x:c>
      <x:c r="I143" s="24" t="str">
        <x:v>否</x:v>
      </x:c>
      <x:c r="J143" s="24" t="str">
        <x:v>否</x:v>
      </x:c>
      <x:c r="K143" s="24" t="str">
        <x:v>否</x:v>
      </x:c>
      <x:c r="L143" s="24" t="str"/>
      <x:c r="M143" s="28" t="n">
        <x:v>1</x:v>
      </x:c>
      <x:c r="N143" s="26" t="n">
        <x:v>185</x:v>
      </x:c>
      <x:c r="O143" s="26" t="n">
        <x:v>80</x:v>
      </x:c>
      <x:c r="P143" s="24" t="str">
        <x:v>是</x:v>
      </x:c>
      <x:c r="Q143" s="24" t="str">
        <x:v>1區</x:v>
      </x:c>
      <x:c r="R143" s="26" t="n">
        <x:v>22</x:v>
      </x:c>
      <x:c r="S143" s="24" t="str">
        <x:v>高頻</x:v>
      </x:c>
    </x:row>
    <x:row r="144">
      <x:c r="A144" s="24" t="str">
        <x:v>PX0140</x:v>
      </x:c>
      <x:c r="B144" s="24" t="str">
        <x:v>咖啡罐裝整箱-小包裝</x:v>
      </x:c>
      <x:c r="C144" s="24" t="str">
        <x:v>飲品類</x:v>
      </x:c>
      <x:c r="D144" s="24" t="str">
        <x:v>Cluster 1</x:v>
      </x:c>
      <x:c r="E144" s="26" t="n">
        <x:v>76</x:v>
      </x:c>
      <x:c r="F144" s="26" t="n">
        <x:v>41</x:v>
      </x:c>
      <x:c r="G144" s="24" t="str">
        <x:v>小</x:v>
      </x:c>
      <x:c r="H144" s="24" t="str">
        <x:v>中</x:v>
      </x:c>
      <x:c r="I144" s="24" t="str">
        <x:v>是</x:v>
      </x:c>
      <x:c r="J144" s="24" t="str">
        <x:v>否</x:v>
      </x:c>
      <x:c r="K144" s="24" t="str">
        <x:v>否</x:v>
      </x:c>
      <x:c r="L144" s="24" t="str"/>
      <x:c r="M144" s="28" t="n">
        <x:v>1</x:v>
      </x:c>
      <x:c r="N144" s="26" t="n">
        <x:v>161</x:v>
      </x:c>
      <x:c r="O144" s="26" t="n">
        <x:v>48</x:v>
      </x:c>
      <x:c r="P144" s="24" t="str">
        <x:v>是</x:v>
      </x:c>
      <x:c r="Q144" s="24" t="str">
        <x:v>A區</x:v>
      </x:c>
      <x:c r="R144" s="26" t="n">
        <x:v>31</x:v>
      </x:c>
      <x:c r="S144" s="24" t="str">
        <x:v>中頻、液體</x:v>
      </x:c>
    </x:row>
    <x:row r="145">
      <x:c r="A145" s="24" t="str">
        <x:v>PX0141</x:v>
      </x:c>
      <x:c r="B145" s="24" t="str">
        <x:v>尿布箱-標準箱</x:v>
      </x:c>
      <x:c r="C145" s="24" t="str">
        <x:v>日用品</x:v>
      </x:c>
      <x:c r="D145" s="24" t="str">
        <x:v>Cluster 2</x:v>
      </x:c>
      <x:c r="E145" s="26" t="n">
        <x:v>18</x:v>
      </x:c>
      <x:c r="F145" s="26" t="n">
        <x:v>9</x:v>
      </x:c>
      <x:c r="G145" s="24" t="str">
        <x:v>大</x:v>
      </x:c>
      <x:c r="H145" s="24" t="str">
        <x:v>中</x:v>
      </x:c>
      <x:c r="I145" s="24" t="str">
        <x:v>否</x:v>
      </x:c>
      <x:c r="J145" s="24" t="str">
        <x:v>否</x:v>
      </x:c>
      <x:c r="K145" s="24" t="str">
        <x:v>否</x:v>
      </x:c>
      <x:c r="L145" s="24" t="str"/>
      <x:c r="M145" s="28" t="n">
        <x:v>1</x:v>
      </x:c>
      <x:c r="N145" s="26" t="n">
        <x:v>78</x:v>
      </x:c>
      <x:c r="O145" s="26" t="n">
        <x:v>18</x:v>
      </x:c>
      <x:c r="P145" s="24" t="str">
        <x:v>是</x:v>
      </x:c>
      <x:c r="Q145" s="24" t="str">
        <x:v>遠端區</x:v>
      </x:c>
      <x:c r="R145" s="26" t="n">
        <x:v>62</x:v>
      </x:c>
      <x:c r="S145" s="24" t="str">
        <x:v>低頻、體積大</x:v>
      </x:c>
    </x:row>
    <x:row r="146">
      <x:c r="A146" s="24" t="str">
        <x:v>PX0142</x:v>
      </x:c>
      <x:c r="B146" s="24" t="str">
        <x:v>寵物飼料5kg-箱裝</x:v>
      </x:c>
      <x:c r="C146" s="24" t="str">
        <x:v>寵物用品</x:v>
      </x:c>
      <x:c r="D146" s="24" t="str">
        <x:v>Cluster 2</x:v>
      </x:c>
      <x:c r="E146" s="26" t="n">
        <x:v>28</x:v>
      </x:c>
      <x:c r="F146" s="26" t="n">
        <x:v>14</x:v>
      </x:c>
      <x:c r="G146" s="24" t="str">
        <x:v>大</x:v>
      </x:c>
      <x:c r="H146" s="24" t="str">
        <x:v>重</x:v>
      </x:c>
      <x:c r="I146" s="24" t="str">
        <x:v>否</x:v>
      </x:c>
      <x:c r="J146" s="24" t="str">
        <x:v>否</x:v>
      </x:c>
      <x:c r="K146" s="24" t="str">
        <x:v>否</x:v>
      </x:c>
      <x:c r="L146" s="24" t="str"/>
      <x:c r="M146" s="28" t="n">
        <x:v>1</x:v>
      </x:c>
      <x:c r="N146" s="26" t="n">
        <x:v>65</x:v>
      </x:c>
      <x:c r="O146" s="26" t="n">
        <x:v>24</x:v>
      </x:c>
      <x:c r="P146" s="24" t="str">
        <x:v>是</x:v>
      </x:c>
      <x:c r="Q146" s="24" t="str">
        <x:v>3區</x:v>
      </x:c>
      <x:c r="R146" s="26" t="n">
        <x:v>30</x:v>
      </x:c>
      <x:c r="S146" s="24" t="str">
        <x:v>低頻、體積大、重物</x:v>
      </x:c>
    </x:row>
    <x:row r="147">
      <x:c r="A147" s="24" t="str">
        <x:v>PX0143</x:v>
      </x:c>
      <x:c r="B147" s="24" t="str">
        <x:v>保鮮盒-家庭號</x:v>
      </x:c>
      <x:c r="C147" s="24" t="str">
        <x:v>家用品</x:v>
      </x:c>
      <x:c r="D147" s="24" t="str">
        <x:v>Cluster 5</x:v>
      </x:c>
      <x:c r="E147" s="26" t="n">
        <x:v>147</x:v>
      </x:c>
      <x:c r="F147" s="26" t="n">
        <x:v>58</x:v>
      </x:c>
      <x:c r="G147" s="24" t="str">
        <x:v>中</x:v>
      </x:c>
      <x:c r="H147" s="24" t="str">
        <x:v>中</x:v>
      </x:c>
      <x:c r="I147" s="24" t="str">
        <x:v>否</x:v>
      </x:c>
      <x:c r="J147" s="24" t="str">
        <x:v>否</x:v>
      </x:c>
      <x:c r="K147" s="24" t="str">
        <x:v>否</x:v>
      </x:c>
      <x:c r="L147" s="24" t="str"/>
      <x:c r="M147" s="28" t="n">
        <x:v>1</x:v>
      </x:c>
      <x:c r="N147" s="26" t="n">
        <x:v>323</x:v>
      </x:c>
      <x:c r="O147" s="26" t="n">
        <x:v>48</x:v>
      </x:c>
      <x:c r="P147" s="24" t="str">
        <x:v>是</x:v>
      </x:c>
      <x:c r="Q147" s="24" t="str">
        <x:v>K區</x:v>
      </x:c>
      <x:c r="R147" s="26" t="n">
        <x:v>43</x:v>
      </x:c>
      <x:c r="S147" s="24" t="str">
        <x:v>高頻</x:v>
      </x:c>
    </x:row>
    <x:row r="148">
      <x:c r="A148" s="24" t="str">
        <x:v>PX0144</x:v>
      </x:c>
      <x:c r="B148" s="24" t="str">
        <x:v>防蚊用品-標準箱</x:v>
      </x:c>
      <x:c r="C148" s="24" t="str">
        <x:v>季節商品</x:v>
      </x:c>
      <x:c r="D148" s="24" t="str">
        <x:v>Cluster 4</x:v>
      </x:c>
      <x:c r="E148" s="26" t="n">
        <x:v>90</x:v>
      </x:c>
      <x:c r="F148" s="26" t="n">
        <x:v>62</x:v>
      </x:c>
      <x:c r="G148" s="24" t="str">
        <x:v>中</x:v>
      </x:c>
      <x:c r="H148" s="24" t="str">
        <x:v>中</x:v>
      </x:c>
      <x:c r="I148" s="24" t="str">
        <x:v>否</x:v>
      </x:c>
      <x:c r="J148" s="24" t="str">
        <x:v>否</x:v>
      </x:c>
      <x:c r="K148" s="24" t="str">
        <x:v>是</x:v>
      </x:c>
      <x:c r="L148" s="24" t="str">
        <x:v>5-8月</x:v>
      </x:c>
      <x:c r="M148" s="28" t="n">
        <x:v>1.8</x:v>
      </x:c>
      <x:c r="N148" s="26" t="n">
        <x:v>391</x:v>
      </x:c>
      <x:c r="O148" s="26" t="n">
        <x:v>60</x:v>
      </x:c>
      <x:c r="P148" s="24" t="str">
        <x:v>是</x:v>
      </x:c>
      <x:c r="Q148" s="24" t="str">
        <x:v>K區</x:v>
      </x:c>
      <x:c r="R148" s="26" t="n">
        <x:v>52</x:v>
      </x:c>
      <x:c r="S148" s="24" t="str">
        <x:v>高頻、季節性</x:v>
      </x:c>
    </x:row>
    <x:row r="149">
      <x:c r="A149" s="24" t="str">
        <x:v>PX0145</x:v>
      </x:c>
      <x:c r="B149" s="24" t="str">
        <x:v>柔軟精-箱裝</x:v>
      </x:c>
      <x:c r="C149" s="24" t="str">
        <x:v>清潔用品</x:v>
      </x:c>
      <x:c r="D149" s="24" t="str">
        <x:v>Cluster 1</x:v>
      </x:c>
      <x:c r="E149" s="26" t="n">
        <x:v>67</x:v>
      </x:c>
      <x:c r="F149" s="26" t="n">
        <x:v>40</x:v>
      </x:c>
      <x:c r="G149" s="24" t="str">
        <x:v>小</x:v>
      </x:c>
      <x:c r="H149" s="24" t="str">
        <x:v>中</x:v>
      </x:c>
      <x:c r="I149" s="24" t="str">
        <x:v>是</x:v>
      </x:c>
      <x:c r="J149" s="24" t="str">
        <x:v>否</x:v>
      </x:c>
      <x:c r="K149" s="24" t="str">
        <x:v>否</x:v>
      </x:c>
      <x:c r="L149" s="24" t="str"/>
      <x:c r="M149" s="28" t="n">
        <x:v>1.1</x:v>
      </x:c>
      <x:c r="N149" s="26" t="n">
        <x:v>315</x:v>
      </x:c>
      <x:c r="O149" s="26" t="n">
        <x:v>60</x:v>
      </x:c>
      <x:c r="P149" s="24" t="str">
        <x:v>是</x:v>
      </x:c>
      <x:c r="Q149" s="24" t="str">
        <x:v>3區</x:v>
      </x:c>
      <x:c r="R149" s="26" t="n">
        <x:v>42</x:v>
      </x:c>
      <x:c r="S149" s="24" t="str">
        <x:v>中頻、液體</x:v>
      </x:c>
    </x:row>
    <x:row r="150">
      <x:c r="A150" s="24" t="str">
        <x:v>PX0146</x:v>
      </x:c>
      <x:c r="B150" s="24" t="str">
        <x:v>漂白水-家庭號</x:v>
      </x:c>
      <x:c r="C150" s="24" t="str">
        <x:v>清潔用品</x:v>
      </x:c>
      <x:c r="D150" s="24" t="str">
        <x:v>Cluster 1</x:v>
      </x:c>
      <x:c r="E150" s="26" t="n">
        <x:v>20</x:v>
      </x:c>
      <x:c r="F150" s="26" t="n">
        <x:v>9</x:v>
      </x:c>
      <x:c r="G150" s="24" t="str">
        <x:v>中</x:v>
      </x:c>
      <x:c r="H150" s="24" t="str">
        <x:v>重</x:v>
      </x:c>
      <x:c r="I150" s="24" t="str">
        <x:v>是</x:v>
      </x:c>
      <x:c r="J150" s="24" t="str">
        <x:v>否</x:v>
      </x:c>
      <x:c r="K150" s="24" t="str">
        <x:v>否</x:v>
      </x:c>
      <x:c r="L150" s="24" t="str"/>
      <x:c r="M150" s="28" t="n">
        <x:v>1.5</x:v>
      </x:c>
      <x:c r="N150" s="26" t="n">
        <x:v>61</x:v>
      </x:c>
      <x:c r="O150" s="26" t="n">
        <x:v>32</x:v>
      </x:c>
      <x:c r="P150" s="24" t="str">
        <x:v>是</x:v>
      </x:c>
      <x:c r="Q150" s="24" t="str">
        <x:v>彈性區</x:v>
      </x:c>
      <x:c r="R150" s="26" t="n">
        <x:v>52</x:v>
      </x:c>
      <x:c r="S150" s="24" t="str">
        <x:v>低頻、重物、液體</x:v>
      </x:c>
    </x:row>
    <x:row r="151">
      <x:c r="A151" s="24" t="str">
        <x:v>PX0147</x:v>
      </x:c>
      <x:c r="B151" s="24" t="str">
        <x:v>寵物尿布墊-標準箱</x:v>
      </x:c>
      <x:c r="C151" s="24" t="str">
        <x:v>寵物用品</x:v>
      </x:c>
      <x:c r="D151" s="24" t="str">
        <x:v>Cluster 2</x:v>
      </x:c>
      <x:c r="E151" s="26" t="n">
        <x:v>14</x:v>
      </x:c>
      <x:c r="F151" s="26" t="n">
        <x:v>9</x:v>
      </x:c>
      <x:c r="G151" s="24" t="str">
        <x:v>大</x:v>
      </x:c>
      <x:c r="H151" s="24" t="str">
        <x:v>輕</x:v>
      </x:c>
      <x:c r="I151" s="24" t="str">
        <x:v>否</x:v>
      </x:c>
      <x:c r="J151" s="24" t="str">
        <x:v>否</x:v>
      </x:c>
      <x:c r="K151" s="24" t="str">
        <x:v>否</x:v>
      </x:c>
      <x:c r="L151" s="24" t="str"/>
      <x:c r="M151" s="28" t="n">
        <x:v>1</x:v>
      </x:c>
      <x:c r="N151" s="26" t="n">
        <x:v>63</x:v>
      </x:c>
      <x:c r="O151" s="26" t="n">
        <x:v>24</x:v>
      </x:c>
      <x:c r="P151" s="24" t="str">
        <x:v>是</x:v>
      </x:c>
      <x:c r="Q151" s="24" t="str">
        <x:v>遠端區</x:v>
      </x:c>
      <x:c r="R151" s="26" t="n">
        <x:v>75</x:v>
      </x:c>
      <x:c r="S151" s="24" t="str">
        <x:v>低頻、體積大</x:v>
      </x:c>
    </x:row>
    <x:row r="152">
      <x:c r="A152" s="24" t="str">
        <x:v>PX0148</x:v>
      </x:c>
      <x:c r="B152" s="24" t="str">
        <x:v>洗髮精-促銷組</x:v>
      </x:c>
      <x:c r="C152" s="24" t="str">
        <x:v>日用品</x:v>
      </x:c>
      <x:c r="D152" s="24" t="str">
        <x:v>Cluster 4</x:v>
      </x:c>
      <x:c r="E152" s="26" t="n">
        <x:v>31</x:v>
      </x:c>
      <x:c r="F152" s="26" t="n">
        <x:v>6</x:v>
      </x:c>
      <x:c r="G152" s="24" t="str">
        <x:v>中</x:v>
      </x:c>
      <x:c r="H152" s="24" t="str">
        <x:v>中</x:v>
      </x:c>
      <x:c r="I152" s="24" t="str">
        <x:v>是</x:v>
      </x:c>
      <x:c r="J152" s="24" t="str">
        <x:v>否</x:v>
      </x:c>
      <x:c r="K152" s="24" t="str">
        <x:v>是</x:v>
      </x:c>
      <x:c r="L152" s="24" t="str">
        <x:v>旺季</x:v>
      </x:c>
      <x:c r="M152" s="28" t="n">
        <x:v>2.5</x:v>
      </x:c>
      <x:c r="N152" s="26" t="n">
        <x:v>94</x:v>
      </x:c>
      <x:c r="O152" s="26" t="n">
        <x:v>60</x:v>
      </x:c>
      <x:c r="P152" s="24" t="str">
        <x:v>是</x:v>
      </x:c>
      <x:c r="Q152" s="24" t="str">
        <x:v>K區</x:v>
      </x:c>
      <x:c r="R152" s="26" t="n">
        <x:v>56</x:v>
      </x:c>
      <x:c r="S152" s="24" t="str">
        <x:v>低頻、液體、季節性</x:v>
      </x:c>
    </x:row>
    <x:row r="153">
      <x:c r="A153" s="24" t="str">
        <x:v>PX0149</x:v>
      </x:c>
      <x:c r="B153" s="24" t="str">
        <x:v>運動飲料整箱-補充包</x:v>
      </x:c>
      <x:c r="C153" s="24" t="str">
        <x:v>飲品類</x:v>
      </x:c>
      <x:c r="D153" s="24" t="str">
        <x:v>Cluster 1</x:v>
      </x:c>
      <x:c r="E153" s="26" t="n">
        <x:v>14</x:v>
      </x:c>
      <x:c r="F153" s="26" t="n">
        <x:v>8</x:v>
      </x:c>
      <x:c r="G153" s="24" t="str">
        <x:v>中</x:v>
      </x:c>
      <x:c r="H153" s="24" t="str">
        <x:v>重</x:v>
      </x:c>
      <x:c r="I153" s="24" t="str">
        <x:v>是</x:v>
      </x:c>
      <x:c r="J153" s="24" t="str">
        <x:v>否</x:v>
      </x:c>
      <x:c r="K153" s="24" t="str">
        <x:v>否</x:v>
      </x:c>
      <x:c r="L153" s="24" t="str"/>
      <x:c r="M153" s="28" t="n">
        <x:v>1.5</x:v>
      </x:c>
      <x:c r="N153" s="26" t="n">
        <x:v>51</x:v>
      </x:c>
      <x:c r="O153" s="26" t="n">
        <x:v>32</x:v>
      </x:c>
      <x:c r="P153" s="24" t="str">
        <x:v>是</x:v>
      </x:c>
      <x:c r="Q153" s="24" t="str">
        <x:v>A區</x:v>
      </x:c>
      <x:c r="R153" s="26" t="n">
        <x:v>34</x:v>
      </x:c>
      <x:c r="S153" s="24" t="str">
        <x:v>低頻、重物、液體</x:v>
      </x:c>
    </x:row>
    <x:row r="154">
      <x:c r="A154" s="24" t="str">
        <x:v>PX0150</x:v>
      </x:c>
      <x:c r="B154" s="24" t="str">
        <x:v>調味醬油-標準箱</x:v>
      </x:c>
      <x:c r="C154" s="24" t="str">
        <x:v>食品類</x:v>
      </x:c>
      <x:c r="D154" s="24" t="str">
        <x:v>Cluster 2</x:v>
      </x:c>
      <x:c r="E154" s="26" t="n">
        <x:v>88</x:v>
      </x:c>
      <x:c r="F154" s="26" t="n">
        <x:v>41</x:v>
      </x:c>
      <x:c r="G154" s="24" t="str">
        <x:v>中</x:v>
      </x:c>
      <x:c r="H154" s="24" t="str">
        <x:v>重</x:v>
      </x:c>
      <x:c r="I154" s="24" t="str">
        <x:v>是</x:v>
      </x:c>
      <x:c r="J154" s="24" t="str">
        <x:v>否</x:v>
      </x:c>
      <x:c r="K154" s="24" t="str">
        <x:v>否</x:v>
      </x:c>
      <x:c r="L154" s="24" t="str"/>
      <x:c r="M154" s="28" t="n">
        <x:v>1.1</x:v>
      </x:c>
      <x:c r="N154" s="26" t="n">
        <x:v>377</x:v>
      </x:c>
      <x:c r="O154" s="26" t="n">
        <x:v>36</x:v>
      </x:c>
      <x:c r="P154" s="24" t="str">
        <x:v>是</x:v>
      </x:c>
      <x:c r="Q154" s="24" t="str">
        <x:v>彈性區</x:v>
      </x:c>
      <x:c r="R154" s="26" t="n">
        <x:v>63</x:v>
      </x:c>
      <x:c r="S154" s="24" t="str">
        <x:v>高頻、重物、液體</x:v>
      </x:c>
    </x:row>
    <x:row r="155">
      <x:c r="A155" s="24" t="str">
        <x:v>PX0151</x:v>
      </x:c>
      <x:c r="B155" s="24" t="str">
        <x:v>中秋禮盒-家庭號</x:v>
      </x:c>
      <x:c r="C155" s="24" t="str">
        <x:v>季節商品</x:v>
      </x:c>
      <x:c r="D155" s="24" t="str">
        <x:v>Cluster 4</x:v>
      </x:c>
      <x:c r="E155" s="26" t="n">
        <x:v>48</x:v>
      </x:c>
      <x:c r="F155" s="26" t="n">
        <x:v>13</x:v>
      </x:c>
      <x:c r="G155" s="24" t="str">
        <x:v>大</x:v>
      </x:c>
      <x:c r="H155" s="24" t="str">
        <x:v>輕</x:v>
      </x:c>
      <x:c r="I155" s="24" t="str">
        <x:v>否</x:v>
      </x:c>
      <x:c r="J155" s="24" t="str">
        <x:v>是</x:v>
      </x:c>
      <x:c r="K155" s="24" t="str">
        <x:v>是</x:v>
      </x:c>
      <x:c r="L155" s="24" t="str">
        <x:v>1-2月</x:v>
      </x:c>
      <x:c r="M155" s="28" t="n">
        <x:v>2</x:v>
      </x:c>
      <x:c r="N155" s="26" t="n">
        <x:v>234</x:v>
      </x:c>
      <x:c r="O155" s="26" t="n">
        <x:v>20</x:v>
      </x:c>
      <x:c r="P155" s="24" t="str">
        <x:v>是</x:v>
      </x:c>
      <x:c r="Q155" s="24" t="str">
        <x:v>3區</x:v>
      </x:c>
      <x:c r="R155" s="26" t="n">
        <x:v>41</x:v>
      </x:c>
      <x:c r="S155" s="24" t="str">
        <x:v>中頻、體積大、易碎、季節性</x:v>
      </x:c>
    </x:row>
    <x:row r="156">
      <x:c r="A156" s="24" t="str">
        <x:v>PX0152</x:v>
      </x:c>
      <x:c r="B156" s="24" t="str">
        <x:v>包裝膠帶-標準箱</x:v>
      </x:c>
      <x:c r="C156" s="24" t="str">
        <x:v>耗材類</x:v>
      </x:c>
      <x:c r="D156" s="24" t="str">
        <x:v>Cluster 4</x:v>
      </x:c>
      <x:c r="E156" s="26" t="n">
        <x:v>47</x:v>
      </x:c>
      <x:c r="F156" s="26" t="n">
        <x:v>23</x:v>
      </x:c>
      <x:c r="G156" s="24" t="str">
        <x:v>小</x:v>
      </x:c>
      <x:c r="H156" s="24" t="str">
        <x:v>中</x:v>
      </x:c>
      <x:c r="I156" s="24" t="str">
        <x:v>否</x:v>
      </x:c>
      <x:c r="J156" s="24" t="str">
        <x:v>否</x:v>
      </x:c>
      <x:c r="K156" s="24" t="str">
        <x:v>是</x:v>
      </x:c>
      <x:c r="L156" s="24" t="str">
        <x:v>旺季</x:v>
      </x:c>
      <x:c r="M156" s="28" t="n">
        <x:v>1.8</x:v>
      </x:c>
      <x:c r="N156" s="26" t="n">
        <x:v>231</x:v>
      </x:c>
      <x:c r="O156" s="26" t="str"/>
      <x:c r="P156" s="24" t="str">
        <x:v>否</x:v>
      </x:c>
      <x:c r="Q156" s="24" t="str">
        <x:v>遠端區</x:v>
      </x:c>
      <x:c r="R156" s="26" t="n">
        <x:v>56</x:v>
      </x:c>
      <x:c r="S156" s="24" t="str">
        <x:v>中頻、季節性</x:v>
      </x:c>
    </x:row>
    <x:row r="157">
      <x:c r="A157" s="24" t="str">
        <x:v>PX0153</x:v>
      </x:c>
      <x:c r="B157" s="24" t="str">
        <x:v>漂白水-箱裝</x:v>
      </x:c>
      <x:c r="C157" s="24" t="str">
        <x:v>清潔用品</x:v>
      </x:c>
      <x:c r="D157" s="24" t="str">
        <x:v>Cluster 3</x:v>
      </x:c>
      <x:c r="E157" s="26" t="n">
        <x:v>93</x:v>
      </x:c>
      <x:c r="F157" s="26" t="n">
        <x:v>66</x:v>
      </x:c>
      <x:c r="G157" s="24" t="str">
        <x:v>中</x:v>
      </x:c>
      <x:c r="H157" s="24" t="str">
        <x:v>重</x:v>
      </x:c>
      <x:c r="I157" s="24" t="str">
        <x:v>是</x:v>
      </x:c>
      <x:c r="J157" s="24" t="str">
        <x:v>否</x:v>
      </x:c>
      <x:c r="K157" s="24" t="str">
        <x:v>否</x:v>
      </x:c>
      <x:c r="L157" s="24" t="str"/>
      <x:c r="M157" s="28" t="n">
        <x:v>1.2</x:v>
      </x:c>
      <x:c r="N157" s="26" t="n">
        <x:v>442</x:v>
      </x:c>
      <x:c r="O157" s="26" t="n">
        <x:v>48</x:v>
      </x:c>
      <x:c r="P157" s="24" t="str">
        <x:v>是</x:v>
      </x:c>
      <x:c r="Q157" s="24" t="str">
        <x:v>彈性區</x:v>
      </x:c>
      <x:c r="R157" s="26" t="n">
        <x:v>52</x:v>
      </x:c>
      <x:c r="S157" s="24" t="str">
        <x:v>高頻、重物、液體</x:v>
      </x:c>
    </x:row>
    <x:row r="158">
      <x:c r="A158" s="24" t="str">
        <x:v>PX0154</x:v>
      </x:c>
      <x:c r="B158" s="24" t="str">
        <x:v>包裝膠帶-箱裝</x:v>
      </x:c>
      <x:c r="C158" s="24" t="str">
        <x:v>耗材類</x:v>
      </x:c>
      <x:c r="D158" s="24" t="str">
        <x:v>Cluster 5</x:v>
      </x:c>
      <x:c r="E158" s="26" t="n">
        <x:v>48</x:v>
      </x:c>
      <x:c r="F158" s="26" t="n">
        <x:v>31</x:v>
      </x:c>
      <x:c r="G158" s="24" t="str">
        <x:v>小</x:v>
      </x:c>
      <x:c r="H158" s="24" t="str">
        <x:v>輕</x:v>
      </x:c>
      <x:c r="I158" s="24" t="str">
        <x:v>否</x:v>
      </x:c>
      <x:c r="J158" s="24" t="str">
        <x:v>否</x:v>
      </x:c>
      <x:c r="K158" s="24" t="str">
        <x:v>否</x:v>
      </x:c>
      <x:c r="L158" s="24" t="str"/>
      <x:c r="M158" s="28" t="n">
        <x:v>1</x:v>
      </x:c>
      <x:c r="N158" s="26" t="n">
        <x:v>196</x:v>
      </x:c>
      <x:c r="O158" s="26" t="str"/>
      <x:c r="P158" s="24" t="str">
        <x:v>否</x:v>
      </x:c>
      <x:c r="Q158" s="24" t="str">
        <x:v>A區</x:v>
      </x:c>
      <x:c r="R158" s="26" t="n">
        <x:v>38</x:v>
      </x:c>
      <x:c r="S158" s="24" t="str">
        <x:v>中頻</x:v>
      </x:c>
    </x:row>
    <x:row r="159">
      <x:c r="A159" s="24" t="str">
        <x:v>PX0155</x:v>
      </x:c>
      <x:c r="B159" s="24" t="str">
        <x:v>寵物罐頭箱-補充包</x:v>
      </x:c>
      <x:c r="C159" s="24" t="str">
        <x:v>寵物用品</x:v>
      </x:c>
      <x:c r="D159" s="24" t="str">
        <x:v>Cluster 2</x:v>
      </x:c>
      <x:c r="E159" s="26" t="n">
        <x:v>15</x:v>
      </x:c>
      <x:c r="F159" s="26" t="n">
        <x:v>9</x:v>
      </x:c>
      <x:c r="G159" s="24" t="str">
        <x:v>大</x:v>
      </x:c>
      <x:c r="H159" s="24" t="str">
        <x:v>輕</x:v>
      </x:c>
      <x:c r="I159" s="24" t="str">
        <x:v>否</x:v>
      </x:c>
      <x:c r="J159" s="24" t="str">
        <x:v>否</x:v>
      </x:c>
      <x:c r="K159" s="24" t="str">
        <x:v>否</x:v>
      </x:c>
      <x:c r="L159" s="24" t="str"/>
      <x:c r="M159" s="28" t="n">
        <x:v>1</x:v>
      </x:c>
      <x:c r="N159" s="26" t="n">
        <x:v>60</x:v>
      </x:c>
      <x:c r="O159" s="26" t="n">
        <x:v>18</x:v>
      </x:c>
      <x:c r="P159" s="24" t="str">
        <x:v>是</x:v>
      </x:c>
      <x:c r="Q159" s="24" t="str">
        <x:v>1區</x:v>
      </x:c>
      <x:c r="R159" s="26" t="n">
        <x:v>29</x:v>
      </x:c>
      <x:c r="S159" s="24" t="str">
        <x:v>低頻、體積大</x:v>
      </x:c>
    </x:row>
    <x:row r="160">
      <x:c r="A160" s="24" t="str">
        <x:v>PX0156</x:v>
      </x:c>
      <x:c r="B160" s="24" t="str">
        <x:v>茶飲料整箱-箱裝</x:v>
      </x:c>
      <x:c r="C160" s="24" t="str">
        <x:v>飲品類</x:v>
      </x:c>
      <x:c r="D160" s="24" t="str">
        <x:v>Cluster 3</x:v>
      </x:c>
      <x:c r="E160" s="26" t="n">
        <x:v>90</x:v>
      </x:c>
      <x:c r="F160" s="26" t="n">
        <x:v>59</x:v>
      </x:c>
      <x:c r="G160" s="24" t="str">
        <x:v>中</x:v>
      </x:c>
      <x:c r="H160" s="24" t="str">
        <x:v>重</x:v>
      </x:c>
      <x:c r="I160" s="24" t="str">
        <x:v>是</x:v>
      </x:c>
      <x:c r="J160" s="24" t="str">
        <x:v>否</x:v>
      </x:c>
      <x:c r="K160" s="24" t="str">
        <x:v>否</x:v>
      </x:c>
      <x:c r="L160" s="24" t="str"/>
      <x:c r="M160" s="28" t="n">
        <x:v>1.2</x:v>
      </x:c>
      <x:c r="N160" s="26" t="n">
        <x:v>405</x:v>
      </x:c>
      <x:c r="O160" s="26" t="n">
        <x:v>48</x:v>
      </x:c>
      <x:c r="P160" s="24" t="str">
        <x:v>是</x:v>
      </x:c>
      <x:c r="Q160" s="24" t="str">
        <x:v>彈性區</x:v>
      </x:c>
      <x:c r="R160" s="26" t="n">
        <x:v>61</x:v>
      </x:c>
      <x:c r="S160" s="24" t="str">
        <x:v>高頻、重物、液體</x:v>
      </x:c>
    </x:row>
    <x:row r="161">
      <x:c r="A161" s="24" t="str">
        <x:v>PX0157</x:v>
      </x:c>
      <x:c r="B161" s="24" t="str">
        <x:v>季節禮盒-補充包</x:v>
      </x:c>
      <x:c r="C161" s="24" t="str">
        <x:v>季節商品</x:v>
      </x:c>
      <x:c r="D161" s="24" t="str">
        <x:v>Cluster 4</x:v>
      </x:c>
      <x:c r="E161" s="26" t="n">
        <x:v>29</x:v>
      </x:c>
      <x:c r="F161" s="26" t="n">
        <x:v>19</x:v>
      </x:c>
      <x:c r="G161" s="24" t="str">
        <x:v>大</x:v>
      </x:c>
      <x:c r="H161" s="24" t="str">
        <x:v>輕</x:v>
      </x:c>
      <x:c r="I161" s="24" t="str">
        <x:v>否</x:v>
      </x:c>
      <x:c r="J161" s="24" t="str">
        <x:v>是</x:v>
      </x:c>
      <x:c r="K161" s="24" t="str">
        <x:v>是</x:v>
      </x:c>
      <x:c r="L161" s="24" t="str">
        <x:v>1-2月</x:v>
      </x:c>
      <x:c r="M161" s="28" t="n">
        <x:v>3</x:v>
      </x:c>
      <x:c r="N161" s="26" t="n">
        <x:v>76</x:v>
      </x:c>
      <x:c r="O161" s="26" t="n">
        <x:v>20</x:v>
      </x:c>
      <x:c r="P161" s="24" t="str">
        <x:v>是</x:v>
      </x:c>
      <x:c r="Q161" s="24" t="str">
        <x:v>1區</x:v>
      </x:c>
      <x:c r="R161" s="26" t="n">
        <x:v>24</x:v>
      </x:c>
      <x:c r="S161" s="24" t="str">
        <x:v>低頻、體積大、易碎、季節性</x:v>
      </x:c>
    </x:row>
    <x:row r="162">
      <x:c r="A162" s="24" t="str">
        <x:v>PX0158</x:v>
      </x:c>
      <x:c r="B162" s="24" t="str">
        <x:v>寵物飼料5kg-小包裝</x:v>
      </x:c>
      <x:c r="C162" s="24" t="str">
        <x:v>寵物用品</x:v>
      </x:c>
      <x:c r="D162" s="24" t="str">
        <x:v>Cluster 2</x:v>
      </x:c>
      <x:c r="E162" s="26" t="n">
        <x:v>53</x:v>
      </x:c>
      <x:c r="F162" s="26" t="n">
        <x:v>26</x:v>
      </x:c>
      <x:c r="G162" s="24" t="str">
        <x:v>大</x:v>
      </x:c>
      <x:c r="H162" s="24" t="str">
        <x:v>重</x:v>
      </x:c>
      <x:c r="I162" s="24" t="str">
        <x:v>否</x:v>
      </x:c>
      <x:c r="J162" s="24" t="str">
        <x:v>否</x:v>
      </x:c>
      <x:c r="K162" s="24" t="str">
        <x:v>否</x:v>
      </x:c>
      <x:c r="L162" s="24" t="str"/>
      <x:c r="M162" s="28" t="n">
        <x:v>1</x:v>
      </x:c>
      <x:c r="N162" s="26" t="n">
        <x:v>123</x:v>
      </x:c>
      <x:c r="O162" s="26" t="n">
        <x:v>24</x:v>
      </x:c>
      <x:c r="P162" s="24" t="str">
        <x:v>是</x:v>
      </x:c>
      <x:c r="Q162" s="24" t="str">
        <x:v>1區</x:v>
      </x:c>
      <x:c r="R162" s="26" t="n">
        <x:v>25</x:v>
      </x:c>
      <x:c r="S162" s="24" t="str">
        <x:v>中頻、體積大、重物</x:v>
      </x:c>
    </x:row>
    <x:row r="163">
      <x:c r="A163" s="24" t="str">
        <x:v>PX0159</x:v>
      </x:c>
      <x:c r="B163" s="24" t="str">
        <x:v>洗衣粉箱-箱裝</x:v>
      </x:c>
      <x:c r="C163" s="24" t="str">
        <x:v>清潔用品</x:v>
      </x:c>
      <x:c r="D163" s="24" t="str">
        <x:v>Cluster 1</x:v>
      </x:c>
      <x:c r="E163" s="26" t="n">
        <x:v>73</x:v>
      </x:c>
      <x:c r="F163" s="26" t="n">
        <x:v>38</x:v>
      </x:c>
      <x:c r="G163" s="24" t="str">
        <x:v>中</x:v>
      </x:c>
      <x:c r="H163" s="24" t="str">
        <x:v>中</x:v>
      </x:c>
      <x:c r="I163" s="24" t="str">
        <x:v>是</x:v>
      </x:c>
      <x:c r="J163" s="24" t="str">
        <x:v>否</x:v>
      </x:c>
      <x:c r="K163" s="24" t="str">
        <x:v>否</x:v>
      </x:c>
      <x:c r="L163" s="24" t="str"/>
      <x:c r="M163" s="28" t="n">
        <x:v>1</x:v>
      </x:c>
      <x:c r="N163" s="26" t="n">
        <x:v>248</x:v>
      </x:c>
      <x:c r="O163" s="26" t="n">
        <x:v>60</x:v>
      </x:c>
      <x:c r="P163" s="24" t="str">
        <x:v>是</x:v>
      </x:c>
      <x:c r="Q163" s="24" t="str">
        <x:v>K區</x:v>
      </x:c>
      <x:c r="R163" s="26" t="n">
        <x:v>52</x:v>
      </x:c>
      <x:c r="S163" s="24" t="str">
        <x:v>中頻、液體</x:v>
      </x:c>
    </x:row>
    <x:row r="164">
      <x:c r="A164" s="24" t="str">
        <x:v>PX0160</x:v>
      </x:c>
      <x:c r="B164" s="24" t="str">
        <x:v>玻璃保鮮盒-箱裝</x:v>
      </x:c>
      <x:c r="C164" s="24" t="str">
        <x:v>家用品</x:v>
      </x:c>
      <x:c r="D164" s="24" t="str">
        <x:v>Cluster 1</x:v>
      </x:c>
      <x:c r="E164" s="26" t="n">
        <x:v>30</x:v>
      </x:c>
      <x:c r="F164" s="26" t="n">
        <x:v>20</x:v>
      </x:c>
      <x:c r="G164" s="24" t="str">
        <x:v>中</x:v>
      </x:c>
      <x:c r="H164" s="24" t="str">
        <x:v>中</x:v>
      </x:c>
      <x:c r="I164" s="24" t="str">
        <x:v>否</x:v>
      </x:c>
      <x:c r="J164" s="24" t="str">
        <x:v>是</x:v>
      </x:c>
      <x:c r="K164" s="24" t="str">
        <x:v>否</x:v>
      </x:c>
      <x:c r="L164" s="24" t="str"/>
      <x:c r="M164" s="28" t="n">
        <x:v>1</x:v>
      </x:c>
      <x:c r="N164" s="26" t="n">
        <x:v>128</x:v>
      </x:c>
      <x:c r="O164" s="26" t="str"/>
      <x:c r="P164" s="24" t="str">
        <x:v>否</x:v>
      </x:c>
      <x:c r="Q164" s="24" t="str">
        <x:v>1區</x:v>
      </x:c>
      <x:c r="R164" s="26" t="n">
        <x:v>21</x:v>
      </x:c>
      <x:c r="S164" s="24" t="str">
        <x:v>低頻、易碎</x:v>
      </x:c>
    </x:row>
    <x:row r="165">
      <x:c r="A165" s="24" t="str">
        <x:v>PX0161</x:v>
      </x:c>
      <x:c r="B165" s="24" t="str">
        <x:v>咖啡罐裝整箱-箱裝</x:v>
      </x:c>
      <x:c r="C165" s="24" t="str">
        <x:v>飲品類</x:v>
      </x:c>
      <x:c r="D165" s="24" t="str">
        <x:v>Cluster 1</x:v>
      </x:c>
      <x:c r="E165" s="26" t="n">
        <x:v>70</x:v>
      </x:c>
      <x:c r="F165" s="26" t="n">
        <x:v>34</x:v>
      </x:c>
      <x:c r="G165" s="24" t="str">
        <x:v>中</x:v>
      </x:c>
      <x:c r="H165" s="24" t="str">
        <x:v>中</x:v>
      </x:c>
      <x:c r="I165" s="24" t="str">
        <x:v>是</x:v>
      </x:c>
      <x:c r="J165" s="24" t="str">
        <x:v>否</x:v>
      </x:c>
      <x:c r="K165" s="24" t="str">
        <x:v>否</x:v>
      </x:c>
      <x:c r="L165" s="24" t="str"/>
      <x:c r="M165" s="28" t="n">
        <x:v>1.1</x:v>
      </x:c>
      <x:c r="N165" s="26" t="n">
        <x:v>291</x:v>
      </x:c>
      <x:c r="O165" s="26" t="n">
        <x:v>48</x:v>
      </x:c>
      <x:c r="P165" s="24" t="str">
        <x:v>是</x:v>
      </x:c>
      <x:c r="Q165" s="24" t="str">
        <x:v>K區</x:v>
      </x:c>
      <x:c r="R165" s="26" t="n">
        <x:v>49</x:v>
      </x:c>
      <x:c r="S165" s="24" t="str">
        <x:v>中頻、液體</x:v>
      </x:c>
    </x:row>
    <x:row r="166">
      <x:c r="A166" s="24" t="str">
        <x:v>PX0162</x:v>
      </x:c>
      <x:c r="B166" s="24" t="str">
        <x:v>餐巾紙箱-箱裝</x:v>
      </x:c>
      <x:c r="C166" s="24" t="str">
        <x:v>紙品類</x:v>
      </x:c>
      <x:c r="D166" s="24" t="str">
        <x:v>Cluster 5</x:v>
      </x:c>
      <x:c r="E166" s="26" t="n">
        <x:v>17</x:v>
      </x:c>
      <x:c r="F166" s="26" t="n">
        <x:v>11</x:v>
      </x:c>
      <x:c r="G166" s="24" t="str">
        <x:v>小</x:v>
      </x:c>
      <x:c r="H166" s="24" t="str">
        <x:v>輕</x:v>
      </x:c>
      <x:c r="I166" s="24" t="str">
        <x:v>否</x:v>
      </x:c>
      <x:c r="J166" s="24" t="str">
        <x:v>否</x:v>
      </x:c>
      <x:c r="K166" s="24" t="str">
        <x:v>否</x:v>
      </x:c>
      <x:c r="L166" s="24" t="str"/>
      <x:c r="M166" s="28" t="n">
        <x:v>1</x:v>
      </x:c>
      <x:c r="N166" s="26" t="n">
        <x:v>59</x:v>
      </x:c>
      <x:c r="O166" s="26" t="str"/>
      <x:c r="P166" s="24" t="str">
        <x:v>否</x:v>
      </x:c>
      <x:c r="Q166" s="24" t="str">
        <x:v>彈性區</x:v>
      </x:c>
      <x:c r="R166" s="26" t="n">
        <x:v>60</x:v>
      </x:c>
      <x:c r="S166" s="24" t="str">
        <x:v>低頻</x:v>
      </x:c>
    </x:row>
    <x:row r="167">
      <x:c r="A167" s="24" t="str">
        <x:v>PX0163</x:v>
      </x:c>
      <x:c r="B167" s="24" t="str">
        <x:v>咖哩塊箱-促銷組</x:v>
      </x:c>
      <x:c r="C167" s="24" t="str">
        <x:v>食品類</x:v>
      </x:c>
      <x:c r="D167" s="24" t="str">
        <x:v>Cluster 5</x:v>
      </x:c>
      <x:c r="E167" s="26" t="n">
        <x:v>82</x:v>
      </x:c>
      <x:c r="F167" s="26" t="n">
        <x:v>49</x:v>
      </x:c>
      <x:c r="G167" s="24" t="str">
        <x:v>小</x:v>
      </x:c>
      <x:c r="H167" s="24" t="str">
        <x:v>輕</x:v>
      </x:c>
      <x:c r="I167" s="24" t="str">
        <x:v>否</x:v>
      </x:c>
      <x:c r="J167" s="24" t="str">
        <x:v>否</x:v>
      </x:c>
      <x:c r="K167" s="24" t="str">
        <x:v>否</x:v>
      </x:c>
      <x:c r="L167" s="24" t="str"/>
      <x:c r="M167" s="28" t="n">
        <x:v>1</x:v>
      </x:c>
      <x:c r="N167" s="26" t="n">
        <x:v>276</x:v>
      </x:c>
      <x:c r="O167" s="26" t="n">
        <x:v>72</x:v>
      </x:c>
      <x:c r="P167" s="24" t="str">
        <x:v>是</x:v>
      </x:c>
      <x:c r="Q167" s="24" t="str">
        <x:v>A區</x:v>
      </x:c>
      <x:c r="R167" s="26" t="n">
        <x:v>27</x:v>
      </x:c>
      <x:c r="S167" s="24" t="str">
        <x:v>高頻</x:v>
      </x:c>
    </x:row>
    <x:row r="168">
      <x:c r="A168" s="24" t="str">
        <x:v>PX0164</x:v>
      </x:c>
      <x:c r="B168" s="24" t="str">
        <x:v>抹布組-箱裝</x:v>
      </x:c>
      <x:c r="C168" s="24" t="str">
        <x:v>家用品</x:v>
      </x:c>
      <x:c r="D168" s="24" t="str">
        <x:v>Cluster 2</x:v>
      </x:c>
      <x:c r="E168" s="26" t="n">
        <x:v>145</x:v>
      </x:c>
      <x:c r="F168" s="26" t="n">
        <x:v>81</x:v>
      </x:c>
      <x:c r="G168" s="24" t="str">
        <x:v>大</x:v>
      </x:c>
      <x:c r="H168" s="24" t="str">
        <x:v>輕</x:v>
      </x:c>
      <x:c r="I168" s="24" t="str">
        <x:v>否</x:v>
      </x:c>
      <x:c r="J168" s="24" t="str">
        <x:v>否</x:v>
      </x:c>
      <x:c r="K168" s="24" t="str">
        <x:v>否</x:v>
      </x:c>
      <x:c r="L168" s="24" t="str"/>
      <x:c r="M168" s="28" t="n">
        <x:v>1.1</x:v>
      </x:c>
      <x:c r="N168" s="26" t="n">
        <x:v>714</x:v>
      </x:c>
      <x:c r="O168" s="26" t="n">
        <x:v>30</x:v>
      </x:c>
      <x:c r="P168" s="24" t="str">
        <x:v>是</x:v>
      </x:c>
      <x:c r="Q168" s="24" t="str">
        <x:v>1區</x:v>
      </x:c>
      <x:c r="R168" s="26" t="n">
        <x:v>29</x:v>
      </x:c>
      <x:c r="S168" s="24" t="str">
        <x:v>高頻、體積大</x:v>
      </x:c>
    </x:row>
    <x:row r="169">
      <x:c r="A169" s="24" t="str">
        <x:v>PX0165</x:v>
      </x:c>
      <x:c r="B169" s="24" t="str">
        <x:v>地板清潔劑-促銷組</x:v>
      </x:c>
      <x:c r="C169" s="24" t="str">
        <x:v>清潔用品</x:v>
      </x:c>
      <x:c r="D169" s="24" t="str">
        <x:v>Cluster 1</x:v>
      </x:c>
      <x:c r="E169" s="26" t="n">
        <x:v>51</x:v>
      </x:c>
      <x:c r="F169" s="26" t="n">
        <x:v>23</x:v>
      </x:c>
      <x:c r="G169" s="24" t="str">
        <x:v>中</x:v>
      </x:c>
      <x:c r="H169" s="24" t="str">
        <x:v>中</x:v>
      </x:c>
      <x:c r="I169" s="24" t="str">
        <x:v>是</x:v>
      </x:c>
      <x:c r="J169" s="24" t="str">
        <x:v>否</x:v>
      </x:c>
      <x:c r="K169" s="24" t="str">
        <x:v>否</x:v>
      </x:c>
      <x:c r="L169" s="24" t="str"/>
      <x:c r="M169" s="28" t="n">
        <x:v>1</x:v>
      </x:c>
      <x:c r="N169" s="26" t="n">
        <x:v>186</x:v>
      </x:c>
      <x:c r="O169" s="26" t="n">
        <x:v>72</x:v>
      </x:c>
      <x:c r="P169" s="24" t="str">
        <x:v>是</x:v>
      </x:c>
      <x:c r="Q169" s="24" t="str">
        <x:v>遠端區</x:v>
      </x:c>
      <x:c r="R169" s="26" t="n">
        <x:v>55</x:v>
      </x:c>
      <x:c r="S169" s="24" t="str">
        <x:v>中頻、液體</x:v>
      </x:c>
    </x:row>
    <x:row r="170">
      <x:c r="A170" s="24" t="str">
        <x:v>PX0166</x:v>
      </x:c>
      <x:c r="B170" s="24" t="str">
        <x:v>備用耗材-小包裝</x:v>
      </x:c>
      <x:c r="C170" s="24" t="str">
        <x:v>耗材類</x:v>
      </x:c>
      <x:c r="D170" s="24" t="str">
        <x:v>Cluster 5</x:v>
      </x:c>
      <x:c r="E170" s="26" t="n">
        <x:v>13</x:v>
      </x:c>
      <x:c r="F170" s="26" t="n">
        <x:v>7</x:v>
      </x:c>
      <x:c r="G170" s="24" t="str">
        <x:v>中</x:v>
      </x:c>
      <x:c r="H170" s="24" t="str">
        <x:v>中</x:v>
      </x:c>
      <x:c r="I170" s="24" t="str">
        <x:v>否</x:v>
      </x:c>
      <x:c r="J170" s="24" t="str">
        <x:v>否</x:v>
      </x:c>
      <x:c r="K170" s="24" t="str">
        <x:v>否</x:v>
      </x:c>
      <x:c r="L170" s="24" t="str"/>
      <x:c r="M170" s="28" t="n">
        <x:v>1</x:v>
      </x:c>
      <x:c r="N170" s="26" t="n">
        <x:v>33</x:v>
      </x:c>
      <x:c r="O170" s="26" t="str"/>
      <x:c r="P170" s="24" t="str">
        <x:v>否</x:v>
      </x:c>
      <x:c r="Q170" s="24" t="str">
        <x:v>彈性區</x:v>
      </x:c>
      <x:c r="R170" s="26" t="n">
        <x:v>46</x:v>
      </x:c>
      <x:c r="S170" s="24" t="str">
        <x:v>低頻</x:v>
      </x:c>
    </x:row>
    <x:row r="171">
      <x:c r="A171" s="24" t="str">
        <x:v>PX0167</x:v>
      </x:c>
      <x:c r="B171" s="24" t="str">
        <x:v>中秋禮盒-小包裝</x:v>
      </x:c>
      <x:c r="C171" s="24" t="str">
        <x:v>季節商品</x:v>
      </x:c>
      <x:c r="D171" s="24" t="str">
        <x:v>Cluster 4</x:v>
      </x:c>
      <x:c r="E171" s="26" t="n">
        <x:v>37</x:v>
      </x:c>
      <x:c r="F171" s="26" t="n">
        <x:v>19</x:v>
      </x:c>
      <x:c r="G171" s="24" t="str">
        <x:v>大</x:v>
      </x:c>
      <x:c r="H171" s="24" t="str">
        <x:v>輕</x:v>
      </x:c>
      <x:c r="I171" s="24" t="str">
        <x:v>否</x:v>
      </x:c>
      <x:c r="J171" s="24" t="str">
        <x:v>是</x:v>
      </x:c>
      <x:c r="K171" s="24" t="str">
        <x:v>是</x:v>
      </x:c>
      <x:c r="L171" s="24" t="str">
        <x:v>1-2月</x:v>
      </x:c>
      <x:c r="M171" s="28" t="n">
        <x:v>3</x:v>
      </x:c>
      <x:c r="N171" s="26" t="n">
        <x:v>178</x:v>
      </x:c>
      <x:c r="O171" s="26" t="n">
        <x:v>24</x:v>
      </x:c>
      <x:c r="P171" s="24" t="str">
        <x:v>是</x:v>
      </x:c>
      <x:c r="Q171" s="24" t="str">
        <x:v>彈性區</x:v>
      </x:c>
      <x:c r="R171" s="26" t="n">
        <x:v>46</x:v>
      </x:c>
      <x:c r="S171" s="24" t="str">
        <x:v>中頻、體積大、易碎、季節性</x:v>
      </x:c>
    </x:row>
    <x:row r="172">
      <x:c r="A172" s="24" t="str">
        <x:v>PX0168</x:v>
      </x:c>
      <x:c r="B172" s="24" t="str">
        <x:v>牙刷組-標準箱</x:v>
      </x:c>
      <x:c r="C172" s="24" t="str">
        <x:v>日用品</x:v>
      </x:c>
      <x:c r="D172" s="24" t="str">
        <x:v>Cluster 5</x:v>
      </x:c>
      <x:c r="E172" s="26" t="n">
        <x:v>74</x:v>
      </x:c>
      <x:c r="F172" s="26" t="n">
        <x:v>43</x:v>
      </x:c>
      <x:c r="G172" s="24" t="str">
        <x:v>小</x:v>
      </x:c>
      <x:c r="H172" s="24" t="str">
        <x:v>輕</x:v>
      </x:c>
      <x:c r="I172" s="24" t="str">
        <x:v>否</x:v>
      </x:c>
      <x:c r="J172" s="24" t="str">
        <x:v>否</x:v>
      </x:c>
      <x:c r="K172" s="24" t="str">
        <x:v>否</x:v>
      </x:c>
      <x:c r="L172" s="24" t="str"/>
      <x:c r="M172" s="28" t="n">
        <x:v>1</x:v>
      </x:c>
      <x:c r="N172" s="26" t="n">
        <x:v>150</x:v>
      </x:c>
      <x:c r="O172" s="26" t="n">
        <x:v>80</x:v>
      </x:c>
      <x:c r="P172" s="24" t="str">
        <x:v>是</x:v>
      </x:c>
      <x:c r="Q172" s="24" t="str">
        <x:v>A區</x:v>
      </x:c>
      <x:c r="R172" s="26" t="n">
        <x:v>38</x:v>
      </x:c>
      <x:c r="S172" s="24" t="str">
        <x:v>中頻</x:v>
      </x:c>
    </x:row>
    <x:row r="173">
      <x:c r="A173" s="24" t="str">
        <x:v>PX0169</x:v>
      </x:c>
      <x:c r="B173" s="24" t="str">
        <x:v>年節禮盒組-標準箱</x:v>
      </x:c>
      <x:c r="C173" s="24" t="str">
        <x:v>季節商品</x:v>
      </x:c>
      <x:c r="D173" s="24" t="str">
        <x:v>Cluster 4</x:v>
      </x:c>
      <x:c r="E173" s="26" t="n">
        <x:v>33</x:v>
      </x:c>
      <x:c r="F173" s="26" t="n">
        <x:v>18</x:v>
      </x:c>
      <x:c r="G173" s="24" t="str">
        <x:v>大</x:v>
      </x:c>
      <x:c r="H173" s="24" t="str">
        <x:v>中</x:v>
      </x:c>
      <x:c r="I173" s="24" t="str">
        <x:v>否</x:v>
      </x:c>
      <x:c r="J173" s="24" t="str">
        <x:v>是</x:v>
      </x:c>
      <x:c r="K173" s="24" t="str">
        <x:v>是</x:v>
      </x:c>
      <x:c r="L173" s="24" t="str">
        <x:v>1-2月</x:v>
      </x:c>
      <x:c r="M173" s="28" t="n">
        <x:v>1.8</x:v>
      </x:c>
      <x:c r="N173" s="26" t="n">
        <x:v>105</x:v>
      </x:c>
      <x:c r="O173" s="26" t="n">
        <x:v>18</x:v>
      </x:c>
      <x:c r="P173" s="24" t="str">
        <x:v>是</x:v>
      </x:c>
      <x:c r="Q173" s="24" t="str">
        <x:v>K區</x:v>
      </x:c>
      <x:c r="R173" s="26" t="n">
        <x:v>60</x:v>
      </x:c>
      <x:c r="S173" s="24" t="str">
        <x:v>低頻、體積大、易碎、季節性</x:v>
      </x:c>
    </x:row>
    <x:row r="174">
      <x:c r="A174" s="24" t="str">
        <x:v>PX0170</x:v>
      </x:c>
      <x:c r="B174" s="24" t="str">
        <x:v>寵物尿布墊-標準箱</x:v>
      </x:c>
      <x:c r="C174" s="24" t="str">
        <x:v>寵物用品</x:v>
      </x:c>
      <x:c r="D174" s="24" t="str">
        <x:v>Cluster 2</x:v>
      </x:c>
      <x:c r="E174" s="26" t="n">
        <x:v>74</x:v>
      </x:c>
      <x:c r="F174" s="26" t="n">
        <x:v>39</x:v>
      </x:c>
      <x:c r="G174" s="24" t="str">
        <x:v>大</x:v>
      </x:c>
      <x:c r="H174" s="24" t="str">
        <x:v>輕</x:v>
      </x:c>
      <x:c r="I174" s="24" t="str">
        <x:v>否</x:v>
      </x:c>
      <x:c r="J174" s="24" t="str">
        <x:v>否</x:v>
      </x:c>
      <x:c r="K174" s="24" t="str">
        <x:v>否</x:v>
      </x:c>
      <x:c r="L174" s="24" t="str"/>
      <x:c r="M174" s="28" t="n">
        <x:v>1</x:v>
      </x:c>
      <x:c r="N174" s="26" t="n">
        <x:v>179</x:v>
      </x:c>
      <x:c r="O174" s="26" t="n">
        <x:v>30</x:v>
      </x:c>
      <x:c r="P174" s="24" t="str">
        <x:v>是</x:v>
      </x:c>
      <x:c r="Q174" s="24" t="str">
        <x:v>A區</x:v>
      </x:c>
      <x:c r="R174" s="26" t="n">
        <x:v>20</x:v>
      </x:c>
      <x:c r="S174" s="24" t="str">
        <x:v>中頻、體積大</x:v>
      </x:c>
    </x:row>
    <x:row r="175">
      <x:c r="A175" s="24" t="str">
        <x:v>PX0171</x:v>
      </x:c>
      <x:c r="B175" s="24" t="str">
        <x:v>收納箱-小包裝</x:v>
      </x:c>
      <x:c r="C175" s="24" t="str">
        <x:v>家用品</x:v>
      </x:c>
      <x:c r="D175" s="24" t="str">
        <x:v>Cluster 2</x:v>
      </x:c>
      <x:c r="E175" s="26" t="n">
        <x:v>83</x:v>
      </x:c>
      <x:c r="F175" s="26" t="n">
        <x:v>62</x:v>
      </x:c>
      <x:c r="G175" s="24" t="str">
        <x:v>大</x:v>
      </x:c>
      <x:c r="H175" s="24" t="str">
        <x:v>中</x:v>
      </x:c>
      <x:c r="I175" s="24" t="str">
        <x:v>否</x:v>
      </x:c>
      <x:c r="J175" s="24" t="str">
        <x:v>否</x:v>
      </x:c>
      <x:c r="K175" s="24" t="str">
        <x:v>否</x:v>
      </x:c>
      <x:c r="L175" s="24" t="str"/>
      <x:c r="M175" s="28" t="n">
        <x:v>1.1</x:v>
      </x:c>
      <x:c r="N175" s="26" t="n">
        <x:v>313</x:v>
      </x:c>
      <x:c r="O175" s="26" t="n">
        <x:v>18</x:v>
      </x:c>
      <x:c r="P175" s="24" t="str">
        <x:v>是</x:v>
      </x:c>
      <x:c r="Q175" s="24" t="str">
        <x:v>3區</x:v>
      </x:c>
      <x:c r="R175" s="26" t="n">
        <x:v>32</x:v>
      </x:c>
      <x:c r="S175" s="24" t="str">
        <x:v>高頻、體積大</x:v>
      </x:c>
    </x:row>
    <x:row r="176">
      <x:c r="A176" s="24" t="str">
        <x:v>PX0172</x:v>
      </x:c>
      <x:c r="B176" s="24" t="str">
        <x:v>蛋捲禮盒-標準箱</x:v>
      </x:c>
      <x:c r="C176" s="24" t="str">
        <x:v>季節商品</x:v>
      </x:c>
      <x:c r="D176" s="24" t="str">
        <x:v>Cluster 4</x:v>
      </x:c>
      <x:c r="E176" s="26" t="n">
        <x:v>36</x:v>
      </x:c>
      <x:c r="F176" s="26" t="n">
        <x:v>5</x:v>
      </x:c>
      <x:c r="G176" s="24" t="str">
        <x:v>大</x:v>
      </x:c>
      <x:c r="H176" s="24" t="str">
        <x:v>輕</x:v>
      </x:c>
      <x:c r="I176" s="24" t="str">
        <x:v>否</x:v>
      </x:c>
      <x:c r="J176" s="24" t="str">
        <x:v>是</x:v>
      </x:c>
      <x:c r="K176" s="24" t="str">
        <x:v>是</x:v>
      </x:c>
      <x:c r="L176" s="24" t="str">
        <x:v>1-2月</x:v>
      </x:c>
      <x:c r="M176" s="28" t="n">
        <x:v>2</x:v>
      </x:c>
      <x:c r="N176" s="26" t="n">
        <x:v>78</x:v>
      </x:c>
      <x:c r="O176" s="26" t="n">
        <x:v>20</x:v>
      </x:c>
      <x:c r="P176" s="24" t="str">
        <x:v>是</x:v>
      </x:c>
      <x:c r="Q176" s="24" t="str">
        <x:v>1區</x:v>
      </x:c>
      <x:c r="R176" s="26" t="n">
        <x:v>27</x:v>
      </x:c>
      <x:c r="S176" s="24" t="str">
        <x:v>中頻、體積大、易碎、季節性</x:v>
      </x:c>
    </x:row>
    <x:row r="177">
      <x:c r="A177" s="24" t="str">
        <x:v>PX0173</x:v>
      </x:c>
      <x:c r="B177" s="24" t="str">
        <x:v>面紙箱-家庭號</x:v>
      </x:c>
      <x:c r="C177" s="24" t="str">
        <x:v>紙品類</x:v>
      </x:c>
      <x:c r="D177" s="24" t="str">
        <x:v>Cluster 5</x:v>
      </x:c>
      <x:c r="E177" s="26" t="n">
        <x:v>72</x:v>
      </x:c>
      <x:c r="F177" s="26" t="n">
        <x:v>40</x:v>
      </x:c>
      <x:c r="G177" s="24" t="str">
        <x:v>小</x:v>
      </x:c>
      <x:c r="H177" s="24" t="str">
        <x:v>中</x:v>
      </x:c>
      <x:c r="I177" s="24" t="str">
        <x:v>否</x:v>
      </x:c>
      <x:c r="J177" s="24" t="str">
        <x:v>否</x:v>
      </x:c>
      <x:c r="K177" s="24" t="str">
        <x:v>否</x:v>
      </x:c>
      <x:c r="L177" s="24" t="str"/>
      <x:c r="M177" s="28" t="n">
        <x:v>1</x:v>
      </x:c>
      <x:c r="N177" s="26" t="n">
        <x:v>187</x:v>
      </x:c>
      <x:c r="O177" s="26" t="n">
        <x:v>80</x:v>
      </x:c>
      <x:c r="P177" s="24" t="str">
        <x:v>是</x:v>
      </x:c>
      <x:c r="Q177" s="24" t="str">
        <x:v>3區</x:v>
      </x:c>
      <x:c r="R177" s="26" t="n">
        <x:v>37</x:v>
      </x:c>
      <x:c r="S177" s="24" t="str">
        <x:v>中頻</x:v>
      </x:c>
    </x:row>
    <x:row r="178">
      <x:c r="A178" s="24" t="str">
        <x:v>PX0174</x:v>
      </x:c>
      <x:c r="B178" s="24" t="str">
        <x:v>標籤紙卷-促銷組</x:v>
      </x:c>
      <x:c r="C178" s="24" t="str">
        <x:v>耗材類</x:v>
      </x:c>
      <x:c r="D178" s="24" t="str">
        <x:v>Cluster 5</x:v>
      </x:c>
      <x:c r="E178" s="26" t="n">
        <x:v>32</x:v>
      </x:c>
      <x:c r="F178" s="26" t="n">
        <x:v>23</x:v>
      </x:c>
      <x:c r="G178" s="24" t="str">
        <x:v>中</x:v>
      </x:c>
      <x:c r="H178" s="24" t="str">
        <x:v>中</x:v>
      </x:c>
      <x:c r="I178" s="24" t="str">
        <x:v>否</x:v>
      </x:c>
      <x:c r="J178" s="24" t="str">
        <x:v>否</x:v>
      </x:c>
      <x:c r="K178" s="24" t="str">
        <x:v>否</x:v>
      </x:c>
      <x:c r="L178" s="24" t="str"/>
      <x:c r="M178" s="28" t="n">
        <x:v>1</x:v>
      </x:c>
      <x:c r="N178" s="26" t="n">
        <x:v>86</x:v>
      </x:c>
      <x:c r="O178" s="26" t="str"/>
      <x:c r="P178" s="24" t="str">
        <x:v>否</x:v>
      </x:c>
      <x:c r="Q178" s="24" t="str">
        <x:v>3區</x:v>
      </x:c>
      <x:c r="R178" s="26" t="n">
        <x:v>33</x:v>
      </x:c>
      <x:c r="S178" s="24" t="str">
        <x:v>低頻</x:v>
      </x:c>
    </x:row>
    <x:row r="179">
      <x:c r="A179" s="24" t="str">
        <x:v>PX0175</x:v>
      </x:c>
      <x:c r="B179" s="24" t="str">
        <x:v>咖哩塊箱-標準箱</x:v>
      </x:c>
      <x:c r="C179" s="24" t="str">
        <x:v>食品類</x:v>
      </x:c>
      <x:c r="D179" s="24" t="str">
        <x:v>Cluster 2</x:v>
      </x:c>
      <x:c r="E179" s="26" t="n">
        <x:v>75</x:v>
      </x:c>
      <x:c r="F179" s="26" t="n">
        <x:v>45</x:v>
      </x:c>
      <x:c r="G179" s="24" t="str">
        <x:v>大</x:v>
      </x:c>
      <x:c r="H179" s="24" t="str">
        <x:v>中</x:v>
      </x:c>
      <x:c r="I179" s="24" t="str">
        <x:v>否</x:v>
      </x:c>
      <x:c r="J179" s="24" t="str">
        <x:v>否</x:v>
      </x:c>
      <x:c r="K179" s="24" t="str">
        <x:v>否</x:v>
      </x:c>
      <x:c r="L179" s="24" t="str"/>
      <x:c r="M179" s="28" t="n">
        <x:v>1.1</x:v>
      </x:c>
      <x:c r="N179" s="26" t="n">
        <x:v>262</x:v>
      </x:c>
      <x:c r="O179" s="26" t="n">
        <x:v>24</x:v>
      </x:c>
      <x:c r="P179" s="24" t="str">
        <x:v>是</x:v>
      </x:c>
      <x:c r="Q179" s="24" t="str">
        <x:v>3區</x:v>
      </x:c>
      <x:c r="R179" s="26" t="n">
        <x:v>50</x:v>
      </x:c>
      <x:c r="S179" s="24" t="str">
        <x:v>中頻、體積大</x:v>
      </x:c>
    </x:row>
    <x:row r="180">
      <x:c r="A180" s="24" t="str">
        <x:v>PX0176</x:v>
      </x:c>
      <x:c r="B180" s="24" t="str">
        <x:v>洗衣精補充包-家庭號</x:v>
      </x:c>
      <x:c r="C180" s="24" t="str">
        <x:v>清潔用品</x:v>
      </x:c>
      <x:c r="D180" s="24" t="str">
        <x:v>Cluster 1</x:v>
      </x:c>
      <x:c r="E180" s="26" t="n">
        <x:v>51</x:v>
      </x:c>
      <x:c r="F180" s="26" t="n">
        <x:v>31</x:v>
      </x:c>
      <x:c r="G180" s="24" t="str">
        <x:v>中</x:v>
      </x:c>
      <x:c r="H180" s="24" t="str">
        <x:v>中</x:v>
      </x:c>
      <x:c r="I180" s="24" t="str">
        <x:v>是</x:v>
      </x:c>
      <x:c r="J180" s="24" t="str">
        <x:v>否</x:v>
      </x:c>
      <x:c r="K180" s="24" t="str">
        <x:v>否</x:v>
      </x:c>
      <x:c r="L180" s="24" t="str"/>
      <x:c r="M180" s="28" t="n">
        <x:v>1.1</x:v>
      </x:c>
      <x:c r="N180" s="26" t="n">
        <x:v>246</x:v>
      </x:c>
      <x:c r="O180" s="26" t="n">
        <x:v>72</x:v>
      </x:c>
      <x:c r="P180" s="24" t="str">
        <x:v>是</x:v>
      </x:c>
      <x:c r="Q180" s="24" t="str">
        <x:v>3區</x:v>
      </x:c>
      <x:c r="R180" s="26" t="n">
        <x:v>34</x:v>
      </x:c>
      <x:c r="S180" s="24" t="str">
        <x:v>中頻、液體</x:v>
      </x:c>
    </x:row>
    <x:row r="181">
      <x:c r="A181" s="24" t="str">
        <x:v>PX0177</x:v>
      </x:c>
      <x:c r="B181" s="24" t="str">
        <x:v>成人紙尿褲-小包裝</x:v>
      </x:c>
      <x:c r="C181" s="24" t="str">
        <x:v>日用品</x:v>
      </x:c>
      <x:c r="D181" s="24" t="str">
        <x:v>Cluster 2</x:v>
      </x:c>
      <x:c r="E181" s="26" t="n">
        <x:v>14</x:v>
      </x:c>
      <x:c r="F181" s="26" t="n">
        <x:v>6</x:v>
      </x:c>
      <x:c r="G181" s="24" t="str">
        <x:v>大</x:v>
      </x:c>
      <x:c r="H181" s="24" t="str">
        <x:v>中</x:v>
      </x:c>
      <x:c r="I181" s="24" t="str">
        <x:v>否</x:v>
      </x:c>
      <x:c r="J181" s="24" t="str">
        <x:v>否</x:v>
      </x:c>
      <x:c r="K181" s="24" t="str">
        <x:v>否</x:v>
      </x:c>
      <x:c r="L181" s="24" t="str"/>
      <x:c r="M181" s="28" t="n">
        <x:v>1</x:v>
      </x:c>
      <x:c r="N181" s="26" t="n">
        <x:v>56</x:v>
      </x:c>
      <x:c r="O181" s="26" t="n">
        <x:v>30</x:v>
      </x:c>
      <x:c r="P181" s="24" t="str">
        <x:v>是</x:v>
      </x:c>
      <x:c r="Q181" s="24" t="str">
        <x:v>3區</x:v>
      </x:c>
      <x:c r="R181" s="26" t="n">
        <x:v>44</x:v>
      </x:c>
      <x:c r="S181" s="24" t="str">
        <x:v>低頻、體積大</x:v>
      </x:c>
    </x:row>
    <x:row r="182">
      <x:c r="A182" s="24" t="str">
        <x:v>PX0178</x:v>
      </x:c>
      <x:c r="B182" s="24" t="str">
        <x:v>餅乾箱-小包裝</x:v>
      </x:c>
      <x:c r="C182" s="24" t="str">
        <x:v>食品類</x:v>
      </x:c>
      <x:c r="D182" s="24" t="str">
        <x:v>Cluster 5</x:v>
      </x:c>
      <x:c r="E182" s="26" t="n">
        <x:v>20</x:v>
      </x:c>
      <x:c r="F182" s="26" t="n">
        <x:v>12</x:v>
      </x:c>
      <x:c r="G182" s="24" t="str">
        <x:v>小</x:v>
      </x:c>
      <x:c r="H182" s="24" t="str">
        <x:v>輕</x:v>
      </x:c>
      <x:c r="I182" s="24" t="str">
        <x:v>否</x:v>
      </x:c>
      <x:c r="J182" s="24" t="str">
        <x:v>否</x:v>
      </x:c>
      <x:c r="K182" s="24" t="str">
        <x:v>否</x:v>
      </x:c>
      <x:c r="L182" s="24" t="str"/>
      <x:c r="M182" s="28" t="n">
        <x:v>1</x:v>
      </x:c>
      <x:c r="N182" s="26" t="n">
        <x:v>70</x:v>
      </x:c>
      <x:c r="O182" s="26" t="str"/>
      <x:c r="P182" s="24" t="str">
        <x:v>否</x:v>
      </x:c>
      <x:c r="Q182" s="24" t="str">
        <x:v>3區</x:v>
      </x:c>
      <x:c r="R182" s="26" t="n">
        <x:v>40</x:v>
      </x:c>
      <x:c r="S182" s="24" t="str">
        <x:v>低頻</x:v>
      </x:c>
    </x:row>
    <x:row r="183">
      <x:c r="A183" s="24" t="str">
        <x:v>PX0179</x:v>
      </x:c>
      <x:c r="B183" s="24" t="str">
        <x:v>寵物尿布墊-標準箱</x:v>
      </x:c>
      <x:c r="C183" s="24" t="str">
        <x:v>寵物用品</x:v>
      </x:c>
      <x:c r="D183" s="24" t="str">
        <x:v>Cluster 2</x:v>
      </x:c>
      <x:c r="E183" s="26" t="n">
        <x:v>43</x:v>
      </x:c>
      <x:c r="F183" s="26" t="n">
        <x:v>27</x:v>
      </x:c>
      <x:c r="G183" s="24" t="str">
        <x:v>大</x:v>
      </x:c>
      <x:c r="H183" s="24" t="str">
        <x:v>輕</x:v>
      </x:c>
      <x:c r="I183" s="24" t="str">
        <x:v>否</x:v>
      </x:c>
      <x:c r="J183" s="24" t="str">
        <x:v>否</x:v>
      </x:c>
      <x:c r="K183" s="24" t="str">
        <x:v>否</x:v>
      </x:c>
      <x:c r="L183" s="24" t="str"/>
      <x:c r="M183" s="28" t="n">
        <x:v>1</x:v>
      </x:c>
      <x:c r="N183" s="26" t="n">
        <x:v>99</x:v>
      </x:c>
      <x:c r="O183" s="26" t="n">
        <x:v>24</x:v>
      </x:c>
      <x:c r="P183" s="24" t="str">
        <x:v>是</x:v>
      </x:c>
      <x:c r="Q183" s="24" t="str">
        <x:v>A區</x:v>
      </x:c>
      <x:c r="R183" s="26" t="n">
        <x:v>34</x:v>
      </x:c>
      <x:c r="S183" s="24" t="str">
        <x:v>中頻、體積大</x:v>
      </x:c>
    </x:row>
    <x:row r="184">
      <x:c r="A184" s="24" t="str">
        <x:v>PX0180</x:v>
      </x:c>
      <x:c r="B184" s="24" t="str">
        <x:v>麥片箱-箱裝</x:v>
      </x:c>
      <x:c r="C184" s="24" t="str">
        <x:v>食品類</x:v>
      </x:c>
      <x:c r="D184" s="24" t="str">
        <x:v>Cluster 4</x:v>
      </x:c>
      <x:c r="E184" s="26" t="n">
        <x:v>162</x:v>
      </x:c>
      <x:c r="F184" s="26" t="n">
        <x:v>81</x:v>
      </x:c>
      <x:c r="G184" s="24" t="str">
        <x:v>中</x:v>
      </x:c>
      <x:c r="H184" s="24" t="str">
        <x:v>中</x:v>
      </x:c>
      <x:c r="I184" s="24" t="str">
        <x:v>否</x:v>
      </x:c>
      <x:c r="J184" s="24" t="str">
        <x:v>否</x:v>
      </x:c>
      <x:c r="K184" s="24" t="str">
        <x:v>是</x:v>
      </x:c>
      <x:c r="L184" s="24" t="str">
        <x:v>旺季</x:v>
      </x:c>
      <x:c r="M184" s="28" t="n">
        <x:v>3</x:v>
      </x:c>
      <x:c r="N184" s="26" t="n">
        <x:v>565</x:v>
      </x:c>
      <x:c r="O184" s="26" t="n">
        <x:v>60</x:v>
      </x:c>
      <x:c r="P184" s="24" t="str">
        <x:v>是</x:v>
      </x:c>
      <x:c r="Q184" s="24" t="str">
        <x:v>3區</x:v>
      </x:c>
      <x:c r="R184" s="26" t="n">
        <x:v>48</x:v>
      </x:c>
      <x:c r="S184" s="24" t="str">
        <x:v>高頻、季節性</x:v>
      </x:c>
    </x:row>
    <x:row r="185">
      <x:c r="A185" s="24" t="str">
        <x:v>PX0181</x:v>
      </x:c>
      <x:c r="B185" s="24" t="str">
        <x:v>餐巾紙箱-小包裝</x:v>
      </x:c>
      <x:c r="C185" s="24" t="str">
        <x:v>紙品類</x:v>
      </x:c>
      <x:c r="D185" s="24" t="str">
        <x:v>Cluster 5</x:v>
      </x:c>
      <x:c r="E185" s="26" t="n">
        <x:v>56</x:v>
      </x:c>
      <x:c r="F185" s="26" t="n">
        <x:v>30</x:v>
      </x:c>
      <x:c r="G185" s="24" t="str">
        <x:v>小</x:v>
      </x:c>
      <x:c r="H185" s="24" t="str">
        <x:v>輕</x:v>
      </x:c>
      <x:c r="I185" s="24" t="str">
        <x:v>否</x:v>
      </x:c>
      <x:c r="J185" s="24" t="str">
        <x:v>否</x:v>
      </x:c>
      <x:c r="K185" s="24" t="str">
        <x:v>否</x:v>
      </x:c>
      <x:c r="L185" s="24" t="str"/>
      <x:c r="M185" s="28" t="n">
        <x:v>1</x:v>
      </x:c>
      <x:c r="N185" s="26" t="n">
        <x:v>128</x:v>
      </x:c>
      <x:c r="O185" s="26" t="str"/>
      <x:c r="P185" s="24" t="str">
        <x:v>否</x:v>
      </x:c>
      <x:c r="Q185" s="24" t="str">
        <x:v>A區</x:v>
      </x:c>
      <x:c r="R185" s="26" t="n">
        <x:v>19</x:v>
      </x:c>
      <x:c r="S185" s="24" t="str">
        <x:v>中頻</x:v>
      </x:c>
    </x:row>
    <x:row r="186">
      <x:c r="A186" s="24" t="str">
        <x:v>PX0182</x:v>
      </x:c>
      <x:c r="B186" s="24" t="str">
        <x:v>漂白水-箱裝</x:v>
      </x:c>
      <x:c r="C186" s="24" t="str">
        <x:v>清潔用品</x:v>
      </x:c>
      <x:c r="D186" s="24" t="str">
        <x:v>Cluster 2</x:v>
      </x:c>
      <x:c r="E186" s="26" t="n">
        <x:v>49</x:v>
      </x:c>
      <x:c r="F186" s="26" t="n">
        <x:v>36</x:v>
      </x:c>
      <x:c r="G186" s="24" t="str">
        <x:v>中</x:v>
      </x:c>
      <x:c r="H186" s="24" t="str">
        <x:v>重</x:v>
      </x:c>
      <x:c r="I186" s="24" t="str">
        <x:v>是</x:v>
      </x:c>
      <x:c r="J186" s="24" t="str">
        <x:v>否</x:v>
      </x:c>
      <x:c r="K186" s="24" t="str">
        <x:v>否</x:v>
      </x:c>
      <x:c r="L186" s="24" t="str"/>
      <x:c r="M186" s="28" t="n">
        <x:v>1.2</x:v>
      </x:c>
      <x:c r="N186" s="26" t="n">
        <x:v>171</x:v>
      </x:c>
      <x:c r="O186" s="26" t="n">
        <x:v>32</x:v>
      </x:c>
      <x:c r="P186" s="24" t="str">
        <x:v>是</x:v>
      </x:c>
      <x:c r="Q186" s="24" t="str">
        <x:v>1區</x:v>
      </x:c>
      <x:c r="R186" s="26" t="n">
        <x:v>36</x:v>
      </x:c>
      <x:c r="S186" s="24" t="str">
        <x:v>中頻、重物、液體</x:v>
      </x:c>
    </x:row>
    <x:row r="187">
      <x:c r="A187" s="24" t="str">
        <x:v>PX0183</x:v>
      </x:c>
      <x:c r="B187" s="24" t="str">
        <x:v>備用耗材-補充包</x:v>
      </x:c>
      <x:c r="C187" s="24" t="str">
        <x:v>耗材類</x:v>
      </x:c>
      <x:c r="D187" s="24" t="str">
        <x:v>Cluster 5</x:v>
      </x:c>
      <x:c r="E187" s="26" t="n">
        <x:v>58</x:v>
      </x:c>
      <x:c r="F187" s="26" t="n">
        <x:v>30</x:v>
      </x:c>
      <x:c r="G187" s="24" t="str">
        <x:v>小</x:v>
      </x:c>
      <x:c r="H187" s="24" t="str">
        <x:v>中</x:v>
      </x:c>
      <x:c r="I187" s="24" t="str">
        <x:v>否</x:v>
      </x:c>
      <x:c r="J187" s="24" t="str">
        <x:v>否</x:v>
      </x:c>
      <x:c r="K187" s="24" t="str">
        <x:v>否</x:v>
      </x:c>
      <x:c r="L187" s="24" t="str"/>
      <x:c r="M187" s="28" t="n">
        <x:v>1</x:v>
      </x:c>
      <x:c r="N187" s="26" t="n">
        <x:v>182</x:v>
      </x:c>
      <x:c r="O187" s="26" t="str"/>
      <x:c r="P187" s="24" t="str">
        <x:v>否</x:v>
      </x:c>
      <x:c r="Q187" s="24" t="str">
        <x:v>1區</x:v>
      </x:c>
      <x:c r="R187" s="26" t="n">
        <x:v>38</x:v>
      </x:c>
      <x:c r="S187" s="24" t="str">
        <x:v>中頻</x:v>
      </x:c>
    </x:row>
    <x:row r="188">
      <x:c r="A188" s="24" t="str">
        <x:v>PX0184</x:v>
      </x:c>
      <x:c r="B188" s="24" t="str">
        <x:v>寵物罐頭箱-促銷組</x:v>
      </x:c>
      <x:c r="C188" s="24" t="str">
        <x:v>寵物用品</x:v>
      </x:c>
      <x:c r="D188" s="24" t="str">
        <x:v>Cluster 5</x:v>
      </x:c>
      <x:c r="E188" s="26" t="n">
        <x:v>35</x:v>
      </x:c>
      <x:c r="F188" s="26" t="n">
        <x:v>18</x:v>
      </x:c>
      <x:c r="G188" s="24" t="str">
        <x:v>小</x:v>
      </x:c>
      <x:c r="H188" s="24" t="str">
        <x:v>輕</x:v>
      </x:c>
      <x:c r="I188" s="24" t="str">
        <x:v>否</x:v>
      </x:c>
      <x:c r="J188" s="24" t="str">
        <x:v>否</x:v>
      </x:c>
      <x:c r="K188" s="24" t="str">
        <x:v>否</x:v>
      </x:c>
      <x:c r="L188" s="24" t="str"/>
      <x:c r="M188" s="28" t="n">
        <x:v>1</x:v>
      </x:c>
      <x:c r="N188" s="26" t="n">
        <x:v>101</x:v>
      </x:c>
      <x:c r="O188" s="26" t="str"/>
      <x:c r="P188" s="24" t="str">
        <x:v>否</x:v>
      </x:c>
      <x:c r="Q188" s="24" t="str">
        <x:v>3區</x:v>
      </x:c>
      <x:c r="R188" s="26" t="n">
        <x:v>39</x:v>
      </x:c>
      <x:c r="S188" s="24" t="str">
        <x:v>中頻</x:v>
      </x:c>
    </x:row>
    <x:row r="189">
      <x:c r="A189" s="24" t="str">
        <x:v>PX0185</x:v>
      </x:c>
      <x:c r="B189" s="24" t="str">
        <x:v>手套耗材-箱裝</x:v>
      </x:c>
      <x:c r="C189" s="24" t="str">
        <x:v>耗材類</x:v>
      </x:c>
      <x:c r="D189" s="24" t="str">
        <x:v>Cluster 4</x:v>
      </x:c>
      <x:c r="E189" s="26" t="n">
        <x:v>33</x:v>
      </x:c>
      <x:c r="F189" s="26" t="n">
        <x:v>15</x:v>
      </x:c>
      <x:c r="G189" s="24" t="str">
        <x:v>小</x:v>
      </x:c>
      <x:c r="H189" s="24" t="str">
        <x:v>輕</x:v>
      </x:c>
      <x:c r="I189" s="24" t="str">
        <x:v>否</x:v>
      </x:c>
      <x:c r="J189" s="24" t="str">
        <x:v>否</x:v>
      </x:c>
      <x:c r="K189" s="24" t="str">
        <x:v>是</x:v>
      </x:c>
      <x:c r="L189" s="24" t="str">
        <x:v>旺季</x:v>
      </x:c>
      <x:c r="M189" s="28" t="n">
        <x:v>1.8</x:v>
      </x:c>
      <x:c r="N189" s="26" t="n">
        <x:v>131</x:v>
      </x:c>
      <x:c r="O189" s="26" t="str"/>
      <x:c r="P189" s="24" t="str">
        <x:v>否</x:v>
      </x:c>
      <x:c r="Q189" s="24" t="str">
        <x:v>A區</x:v>
      </x:c>
      <x:c r="R189" s="26" t="n">
        <x:v>30</x:v>
      </x:c>
      <x:c r="S189" s="24" t="str">
        <x:v>低頻、季節性</x:v>
      </x:c>
    </x:row>
    <x:row r="190">
      <x:c r="A190" s="24" t="str">
        <x:v>PX0186</x:v>
      </x:c>
      <x:c r="B190" s="24" t="str">
        <x:v>寵物尿布墊-標準箱</x:v>
      </x:c>
      <x:c r="C190" s="24" t="str">
        <x:v>寵物用品</x:v>
      </x:c>
      <x:c r="D190" s="24" t="str">
        <x:v>Cluster 2</x:v>
      </x:c>
      <x:c r="E190" s="26" t="n">
        <x:v>84</x:v>
      </x:c>
      <x:c r="F190" s="26" t="n">
        <x:v>54</x:v>
      </x:c>
      <x:c r="G190" s="24" t="str">
        <x:v>大</x:v>
      </x:c>
      <x:c r="H190" s="24" t="str">
        <x:v>輕</x:v>
      </x:c>
      <x:c r="I190" s="24" t="str">
        <x:v>否</x:v>
      </x:c>
      <x:c r="J190" s="24" t="str">
        <x:v>否</x:v>
      </x:c>
      <x:c r="K190" s="24" t="str">
        <x:v>否</x:v>
      </x:c>
      <x:c r="L190" s="24" t="str"/>
      <x:c r="M190" s="28" t="n">
        <x:v>1</x:v>
      </x:c>
      <x:c r="N190" s="26" t="n">
        <x:v>218</x:v>
      </x:c>
      <x:c r="O190" s="26" t="n">
        <x:v>30</x:v>
      </x:c>
      <x:c r="P190" s="24" t="str">
        <x:v>是</x:v>
      </x:c>
      <x:c r="Q190" s="24" t="str">
        <x:v>A區</x:v>
      </x:c>
      <x:c r="R190" s="26" t="n">
        <x:v>22</x:v>
      </x:c>
      <x:c r="S190" s="24" t="str">
        <x:v>高頻、體積大</x:v>
      </x:c>
    </x:row>
    <x:row r="191">
      <x:c r="A191" s="24" t="str">
        <x:v>PX0187</x:v>
      </x:c>
      <x:c r="B191" s="24" t="str">
        <x:v>蛋捲禮盒-家庭號</x:v>
      </x:c>
      <x:c r="C191" s="24" t="str">
        <x:v>季節商品</x:v>
      </x:c>
      <x:c r="D191" s="24" t="str">
        <x:v>Cluster 4</x:v>
      </x:c>
      <x:c r="E191" s="26" t="n">
        <x:v>10</x:v>
      </x:c>
      <x:c r="F191" s="26" t="n">
        <x:v>5</x:v>
      </x:c>
      <x:c r="G191" s="24" t="str">
        <x:v>大</x:v>
      </x:c>
      <x:c r="H191" s="24" t="str">
        <x:v>輕</x:v>
      </x:c>
      <x:c r="I191" s="24" t="str">
        <x:v>否</x:v>
      </x:c>
      <x:c r="J191" s="24" t="str">
        <x:v>是</x:v>
      </x:c>
      <x:c r="K191" s="24" t="str">
        <x:v>是</x:v>
      </x:c>
      <x:c r="L191" s="24" t="str">
        <x:v>1-2月</x:v>
      </x:c>
      <x:c r="M191" s="28" t="n">
        <x:v>3</x:v>
      </x:c>
      <x:c r="N191" s="26" t="n">
        <x:v>35</x:v>
      </x:c>
      <x:c r="O191" s="26" t="n">
        <x:v>24</x:v>
      </x:c>
      <x:c r="P191" s="24" t="str">
        <x:v>是</x:v>
      </x:c>
      <x:c r="Q191" s="24" t="str">
        <x:v>A區</x:v>
      </x:c>
      <x:c r="R191" s="26" t="n">
        <x:v>22</x:v>
      </x:c>
      <x:c r="S191" s="24" t="str">
        <x:v>低頻、體積大、易碎、季節性</x:v>
      </x:c>
    </x:row>
    <x:row r="192">
      <x:c r="A192" s="24" t="str">
        <x:v>PX0188</x:v>
      </x:c>
      <x:c r="B192" s="24" t="str">
        <x:v>餅乾箱-家庭號</x:v>
      </x:c>
      <x:c r="C192" s="24" t="str">
        <x:v>食品類</x:v>
      </x:c>
      <x:c r="D192" s="24" t="str">
        <x:v>Cluster 2</x:v>
      </x:c>
      <x:c r="E192" s="26" t="n">
        <x:v>43</x:v>
      </x:c>
      <x:c r="F192" s="26" t="n">
        <x:v>27</x:v>
      </x:c>
      <x:c r="G192" s="24" t="str">
        <x:v>小</x:v>
      </x:c>
      <x:c r="H192" s="24" t="str">
        <x:v>重</x:v>
      </x:c>
      <x:c r="I192" s="24" t="str">
        <x:v>否</x:v>
      </x:c>
      <x:c r="J192" s="24" t="str">
        <x:v>否</x:v>
      </x:c>
      <x:c r="K192" s="24" t="str">
        <x:v>否</x:v>
      </x:c>
      <x:c r="L192" s="24" t="str"/>
      <x:c r="M192" s="28" t="n">
        <x:v>1.1</x:v>
      </x:c>
      <x:c r="N192" s="26" t="n">
        <x:v>156</x:v>
      </x:c>
      <x:c r="O192" s="26" t="n">
        <x:v>32</x:v>
      </x:c>
      <x:c r="P192" s="24" t="str">
        <x:v>是</x:v>
      </x:c>
      <x:c r="Q192" s="24" t="str">
        <x:v>遠端區</x:v>
      </x:c>
      <x:c r="R192" s="26" t="n">
        <x:v>73</x:v>
      </x:c>
      <x:c r="S192" s="24" t="str">
        <x:v>中頻、重物</x:v>
      </x:c>
    </x:row>
    <x:row r="193">
      <x:c r="A193" s="24" t="str">
        <x:v>PX0189</x:v>
      </x:c>
      <x:c r="B193" s="24" t="str">
        <x:v>備用耗材-補充包</x:v>
      </x:c>
      <x:c r="C193" s="24" t="str">
        <x:v>耗材類</x:v>
      </x:c>
      <x:c r="D193" s="24" t="str">
        <x:v>Cluster 5</x:v>
      </x:c>
      <x:c r="E193" s="26" t="n">
        <x:v>85</x:v>
      </x:c>
      <x:c r="F193" s="26" t="n">
        <x:v>38</x:v>
      </x:c>
      <x:c r="G193" s="24" t="str">
        <x:v>小</x:v>
      </x:c>
      <x:c r="H193" s="24" t="str">
        <x:v>輕</x:v>
      </x:c>
      <x:c r="I193" s="24" t="str">
        <x:v>否</x:v>
      </x:c>
      <x:c r="J193" s="24" t="str">
        <x:v>否</x:v>
      </x:c>
      <x:c r="K193" s="24" t="str">
        <x:v>否</x:v>
      </x:c>
      <x:c r="L193" s="24" t="str"/>
      <x:c r="M193" s="28" t="n">
        <x:v>1</x:v>
      </x:c>
      <x:c r="N193" s="26" t="n">
        <x:v>394</x:v>
      </x:c>
      <x:c r="O193" s="26" t="n">
        <x:v>48</x:v>
      </x:c>
      <x:c r="P193" s="24" t="str">
        <x:v>是</x:v>
      </x:c>
      <x:c r="Q193" s="24" t="str">
        <x:v>K區</x:v>
      </x:c>
      <x:c r="R193" s="26" t="n">
        <x:v>56</x:v>
      </x:c>
      <x:c r="S193" s="24" t="str">
        <x:v>高頻</x:v>
      </x:c>
    </x:row>
    <x:row r="194">
      <x:c r="A194" s="24" t="str">
        <x:v>PX0190</x:v>
      </x:c>
      <x:c r="B194" s="24" t="str">
        <x:v>乾電池組-箱裝</x:v>
      </x:c>
      <x:c r="C194" s="24" t="str">
        <x:v>耗材類</x:v>
      </x:c>
      <x:c r="D194" s="24" t="str">
        <x:v>Cluster 5</x:v>
      </x:c>
      <x:c r="E194" s="26" t="n">
        <x:v>36</x:v>
      </x:c>
      <x:c r="F194" s="26" t="n">
        <x:v>16</x:v>
      </x:c>
      <x:c r="G194" s="24" t="str">
        <x:v>中</x:v>
      </x:c>
      <x:c r="H194" s="24" t="str">
        <x:v>中</x:v>
      </x:c>
      <x:c r="I194" s="24" t="str">
        <x:v>否</x:v>
      </x:c>
      <x:c r="J194" s="24" t="str">
        <x:v>否</x:v>
      </x:c>
      <x:c r="K194" s="24" t="str">
        <x:v>否</x:v>
      </x:c>
      <x:c r="L194" s="24" t="str"/>
      <x:c r="M194" s="28" t="n">
        <x:v>1</x:v>
      </x:c>
      <x:c r="N194" s="26" t="n">
        <x:v>120</x:v>
      </x:c>
      <x:c r="O194" s="26" t="str"/>
      <x:c r="P194" s="24" t="str">
        <x:v>否</x:v>
      </x:c>
      <x:c r="Q194" s="24" t="str">
        <x:v>彈性區</x:v>
      </x:c>
      <x:c r="R194" s="26" t="n">
        <x:v>58</x:v>
      </x:c>
      <x:c r="S194" s="24" t="str">
        <x:v>中頻</x:v>
      </x:c>
    </x:row>
    <x:row r="195">
      <x:c r="A195" s="24" t="str">
        <x:v>PX0191</x:v>
      </x:c>
      <x:c r="B195" s="24" t="str">
        <x:v>玻璃瓶醬料-小包裝</x:v>
      </x:c>
      <x:c r="C195" s="24" t="str">
        <x:v>食品類</x:v>
      </x:c>
      <x:c r="D195" s="24" t="str">
        <x:v>Cluster 1</x:v>
      </x:c>
      <x:c r="E195" s="26" t="n">
        <x:v>12</x:v>
      </x:c>
      <x:c r="F195" s="26" t="n">
        <x:v>7</x:v>
      </x:c>
      <x:c r="G195" s="24" t="str">
        <x:v>小</x:v>
      </x:c>
      <x:c r="H195" s="24" t="str">
        <x:v>輕</x:v>
      </x:c>
      <x:c r="I195" s="24" t="str">
        <x:v>否</x:v>
      </x:c>
      <x:c r="J195" s="24" t="str">
        <x:v>是</x:v>
      </x:c>
      <x:c r="K195" s="24" t="str">
        <x:v>否</x:v>
      </x:c>
      <x:c r="L195" s="24" t="str"/>
      <x:c r="M195" s="28" t="n">
        <x:v>1</x:v>
      </x:c>
      <x:c r="N195" s="26" t="n">
        <x:v>40</x:v>
      </x:c>
      <x:c r="O195" s="26" t="str"/>
      <x:c r="P195" s="24" t="str">
        <x:v>否</x:v>
      </x:c>
      <x:c r="Q195" s="24" t="str">
        <x:v>遠端區</x:v>
      </x:c>
      <x:c r="R195" s="26" t="n">
        <x:v>70</x:v>
      </x:c>
      <x:c r="S195" s="24" t="str">
        <x:v>低頻、易碎</x:v>
      </x:c>
    </x:row>
    <x:row r="196">
      <x:c r="A196" s="24" t="str">
        <x:v>PX0192</x:v>
      </x:c>
      <x:c r="B196" s="24" t="str">
        <x:v>保鮮膜-家庭號</x:v>
      </x:c>
      <x:c r="C196" s="24" t="str">
        <x:v>家用品</x:v>
      </x:c>
      <x:c r="D196" s="24" t="str">
        <x:v>Cluster 5</x:v>
      </x:c>
      <x:c r="E196" s="26" t="n">
        <x:v>87</x:v>
      </x:c>
      <x:c r="F196" s="26" t="n">
        <x:v>60</x:v>
      </x:c>
      <x:c r="G196" s="24" t="str">
        <x:v>小</x:v>
      </x:c>
      <x:c r="H196" s="24" t="str">
        <x:v>中</x:v>
      </x:c>
      <x:c r="I196" s="24" t="str">
        <x:v>否</x:v>
      </x:c>
      <x:c r="J196" s="24" t="str">
        <x:v>否</x:v>
      </x:c>
      <x:c r="K196" s="24" t="str">
        <x:v>否</x:v>
      </x:c>
      <x:c r="L196" s="24" t="str"/>
      <x:c r="M196" s="28" t="n">
        <x:v>1</x:v>
      </x:c>
      <x:c r="N196" s="26" t="n">
        <x:v>319</x:v>
      </x:c>
      <x:c r="O196" s="26" t="n">
        <x:v>72</x:v>
      </x:c>
      <x:c r="P196" s="24" t="str">
        <x:v>是</x:v>
      </x:c>
      <x:c r="Q196" s="24" t="str">
        <x:v>3區</x:v>
      </x:c>
      <x:c r="R196" s="26" t="n">
        <x:v>36</x:v>
      </x:c>
      <x:c r="S196" s="24" t="str">
        <x:v>高頻</x:v>
      </x:c>
    </x:row>
    <x:row r="197">
      <x:c r="A197" s="24" t="str">
        <x:v>PX0193</x:v>
      </x:c>
      <x:c r="B197" s="24" t="str">
        <x:v>牙刷組-補充包</x:v>
      </x:c>
      <x:c r="C197" s="24" t="str">
        <x:v>日用品</x:v>
      </x:c>
      <x:c r="D197" s="24" t="str">
        <x:v>Cluster 5</x:v>
      </x:c>
      <x:c r="E197" s="26" t="n">
        <x:v>66</x:v>
      </x:c>
      <x:c r="F197" s="26" t="n">
        <x:v>36</x:v>
      </x:c>
      <x:c r="G197" s="24" t="str">
        <x:v>中</x:v>
      </x:c>
      <x:c r="H197" s="24" t="str">
        <x:v>中</x:v>
      </x:c>
      <x:c r="I197" s="24" t="str">
        <x:v>否</x:v>
      </x:c>
      <x:c r="J197" s="24" t="str">
        <x:v>否</x:v>
      </x:c>
      <x:c r="K197" s="24" t="str">
        <x:v>否</x:v>
      </x:c>
      <x:c r="L197" s="24" t="str"/>
      <x:c r="M197" s="28" t="n">
        <x:v>1.1</x:v>
      </x:c>
      <x:c r="N197" s="26" t="n">
        <x:v>164</x:v>
      </x:c>
      <x:c r="O197" s="26" t="n">
        <x:v>80</x:v>
      </x:c>
      <x:c r="P197" s="24" t="str">
        <x:v>是</x:v>
      </x:c>
      <x:c r="Q197" s="24" t="str">
        <x:v>彈性區</x:v>
      </x:c>
      <x:c r="R197" s="26" t="n">
        <x:v>57</x:v>
      </x:c>
      <x:c r="S197" s="24" t="str">
        <x:v>中頻</x:v>
      </x:c>
    </x:row>
    <x:row r="198">
      <x:c r="A198" s="24" t="str">
        <x:v>PX0194</x:v>
      </x:c>
      <x:c r="B198" s="24" t="str">
        <x:v>衣架組-補充包</x:v>
      </x:c>
      <x:c r="C198" s="24" t="str">
        <x:v>家用品</x:v>
      </x:c>
      <x:c r="D198" s="24" t="str">
        <x:v>Cluster 5</x:v>
      </x:c>
      <x:c r="E198" s="26" t="n">
        <x:v>49</x:v>
      </x:c>
      <x:c r="F198" s="26" t="n">
        <x:v>35</x:v>
      </x:c>
      <x:c r="G198" s="24" t="str">
        <x:v>小</x:v>
      </x:c>
      <x:c r="H198" s="24" t="str">
        <x:v>輕</x:v>
      </x:c>
      <x:c r="I198" s="24" t="str">
        <x:v>否</x:v>
      </x:c>
      <x:c r="J198" s="24" t="str">
        <x:v>否</x:v>
      </x:c>
      <x:c r="K198" s="24" t="str">
        <x:v>否</x:v>
      </x:c>
      <x:c r="L198" s="24" t="str"/>
      <x:c r="M198" s="28" t="n">
        <x:v>1</x:v>
      </x:c>
      <x:c r="N198" s="26" t="n">
        <x:v>143</x:v>
      </x:c>
      <x:c r="O198" s="26" t="n">
        <x:v>80</x:v>
      </x:c>
      <x:c r="P198" s="24" t="str">
        <x:v>是</x:v>
      </x:c>
      <x:c r="Q198" s="24" t="str">
        <x:v>彈性區</x:v>
      </x:c>
      <x:c r="R198" s="26" t="n">
        <x:v>62</x:v>
      </x:c>
      <x:c r="S198" s="24" t="str">
        <x:v>中頻</x:v>
      </x:c>
    </x:row>
    <x:row r="199">
      <x:c r="A199" s="24" t="str">
        <x:v>PX0195</x:v>
      </x:c>
      <x:c r="B199" s="24" t="str">
        <x:v>口罩盒-小包裝</x:v>
      </x:c>
      <x:c r="C199" s="24" t="str">
        <x:v>日用品</x:v>
      </x:c>
      <x:c r="D199" s="24" t="str">
        <x:v>Cluster 5</x:v>
      </x:c>
      <x:c r="E199" s="26" t="n">
        <x:v>11</x:v>
      </x:c>
      <x:c r="F199" s="26" t="n">
        <x:v>7</x:v>
      </x:c>
      <x:c r="G199" s="24" t="str">
        <x:v>中</x:v>
      </x:c>
      <x:c r="H199" s="24" t="str">
        <x:v>中</x:v>
      </x:c>
      <x:c r="I199" s="24" t="str">
        <x:v>否</x:v>
      </x:c>
      <x:c r="J199" s="24" t="str">
        <x:v>否</x:v>
      </x:c>
      <x:c r="K199" s="24" t="str">
        <x:v>否</x:v>
      </x:c>
      <x:c r="L199" s="24" t="str"/>
      <x:c r="M199" s="28" t="n">
        <x:v>1</x:v>
      </x:c>
      <x:c r="N199" s="26" t="n">
        <x:v>47</x:v>
      </x:c>
      <x:c r="O199" s="26" t="str"/>
      <x:c r="P199" s="24" t="str">
        <x:v>否</x:v>
      </x:c>
      <x:c r="Q199" s="24" t="str">
        <x:v>遠端區</x:v>
      </x:c>
      <x:c r="R199" s="26" t="n">
        <x:v>58</x:v>
      </x:c>
      <x:c r="S199" s="24" t="str">
        <x:v>低頻</x:v>
      </x:c>
    </x:row>
    <x:row r="200">
      <x:c r="A200" s="24" t="str">
        <x:v>PX0196</x:v>
      </x:c>
      <x:c r="B200" s="24" t="str">
        <x:v>雨衣組-標準箱</x:v>
      </x:c>
      <x:c r="C200" s="24" t="str">
        <x:v>季節商品</x:v>
      </x:c>
      <x:c r="D200" s="24" t="str">
        <x:v>Cluster 4</x:v>
      </x:c>
      <x:c r="E200" s="26" t="n">
        <x:v>18</x:v>
      </x:c>
      <x:c r="F200" s="26" t="n">
        <x:v>17</x:v>
      </x:c>
      <x:c r="G200" s="24" t="str">
        <x:v>小</x:v>
      </x:c>
      <x:c r="H200" s="24" t="str">
        <x:v>重</x:v>
      </x:c>
      <x:c r="I200" s="24" t="str">
        <x:v>否</x:v>
      </x:c>
      <x:c r="J200" s="24" t="str">
        <x:v>否</x:v>
      </x:c>
      <x:c r="K200" s="24" t="str">
        <x:v>是</x:v>
      </x:c>
      <x:c r="L200" s="24" t="str">
        <x:v>5-8月</x:v>
      </x:c>
      <x:c r="M200" s="28" t="n">
        <x:v>3</x:v>
      </x:c>
      <x:c r="N200" s="26" t="n">
        <x:v>61</x:v>
      </x:c>
      <x:c r="O200" s="26" t="n">
        <x:v>36</x:v>
      </x:c>
      <x:c r="P200" s="24" t="str">
        <x:v>是</x:v>
      </x:c>
      <x:c r="Q200" s="24" t="str">
        <x:v>彈性區</x:v>
      </x:c>
      <x:c r="R200" s="26" t="n">
        <x:v>55</x:v>
      </x:c>
      <x:c r="S200" s="24" t="str">
        <x:v>低頻、重物、季節性</x:v>
      </x:c>
    </x:row>
    <x:row r="201">
      <x:c r="A201" s="24" t="str">
        <x:v>PX0197</x:v>
      </x:c>
      <x:c r="B201" s="24" t="str">
        <x:v>沐浴乳-標準箱</x:v>
      </x:c>
      <x:c r="C201" s="24" t="str">
        <x:v>日用品</x:v>
      </x:c>
      <x:c r="D201" s="24" t="str">
        <x:v>Cluster 1</x:v>
      </x:c>
      <x:c r="E201" s="26" t="n">
        <x:v>9</x:v>
      </x:c>
      <x:c r="F201" s="26" t="n">
        <x:v>6</x:v>
      </x:c>
      <x:c r="G201" s="24" t="str">
        <x:v>中</x:v>
      </x:c>
      <x:c r="H201" s="24" t="str">
        <x:v>中</x:v>
      </x:c>
      <x:c r="I201" s="24" t="str">
        <x:v>是</x:v>
      </x:c>
      <x:c r="J201" s="24" t="str">
        <x:v>否</x:v>
      </x:c>
      <x:c r="K201" s="24" t="str">
        <x:v>否</x:v>
      </x:c>
      <x:c r="L201" s="24" t="str"/>
      <x:c r="M201" s="28" t="n">
        <x:v>1.1</x:v>
      </x:c>
      <x:c r="N201" s="26" t="n">
        <x:v>19</x:v>
      </x:c>
      <x:c r="O201" s="26" t="n">
        <x:v>72</x:v>
      </x:c>
      <x:c r="P201" s="24" t="str">
        <x:v>是</x:v>
      </x:c>
      <x:c r="Q201" s="24" t="str">
        <x:v>1區</x:v>
      </x:c>
      <x:c r="R201" s="26" t="n">
        <x:v>25</x:v>
      </x:c>
      <x:c r="S201" s="24" t="str">
        <x:v>低頻、液體</x:v>
      </x:c>
    </x:row>
    <x:row r="202">
      <x:c r="A202" s="24" t="str">
        <x:v>PX0198</x:v>
      </x:c>
      <x:c r="B202" s="24" t="str">
        <x:v>沐浴乳-標準箱</x:v>
      </x:c>
      <x:c r="C202" s="24" t="str">
        <x:v>日用品</x:v>
      </x:c>
      <x:c r="D202" s="24" t="str">
        <x:v>Cluster 2</x:v>
      </x:c>
      <x:c r="E202" s="26" t="n">
        <x:v>63</x:v>
      </x:c>
      <x:c r="F202" s="26" t="n">
        <x:v>47</x:v>
      </x:c>
      <x:c r="G202" s="24" t="str">
        <x:v>大</x:v>
      </x:c>
      <x:c r="H202" s="24" t="str">
        <x:v>中</x:v>
      </x:c>
      <x:c r="I202" s="24" t="str">
        <x:v>是</x:v>
      </x:c>
      <x:c r="J202" s="24" t="str">
        <x:v>否</x:v>
      </x:c>
      <x:c r="K202" s="24" t="str">
        <x:v>否</x:v>
      </x:c>
      <x:c r="L202" s="24" t="str"/>
      <x:c r="M202" s="28" t="n">
        <x:v>1</x:v>
      </x:c>
      <x:c r="N202" s="26" t="n">
        <x:v>237</x:v>
      </x:c>
      <x:c r="O202" s="26" t="n">
        <x:v>30</x:v>
      </x:c>
      <x:c r="P202" s="24" t="str">
        <x:v>是</x:v>
      </x:c>
      <x:c r="Q202" s="24" t="str">
        <x:v>遠端區</x:v>
      </x:c>
      <x:c r="R202" s="26" t="n">
        <x:v>69</x:v>
      </x:c>
      <x:c r="S202" s="24" t="str">
        <x:v>中頻、體積大、液體</x:v>
      </x:c>
    </x:row>
    <x:row r="203">
      <x:c r="A203" s="24" t="str">
        <x:v>PX0199</x:v>
      </x:c>
      <x:c r="B203" s="24" t="str">
        <x:v>柔軟精-標準箱</x:v>
      </x:c>
      <x:c r="C203" s="24" t="str">
        <x:v>清潔用品</x:v>
      </x:c>
      <x:c r="D203" s="24" t="str">
        <x:v>Cluster 1</x:v>
      </x:c>
      <x:c r="E203" s="26" t="n">
        <x:v>6</x:v>
      </x:c>
      <x:c r="F203" s="26" t="n">
        <x:v>4</x:v>
      </x:c>
      <x:c r="G203" s="24" t="str">
        <x:v>中</x:v>
      </x:c>
      <x:c r="H203" s="24" t="str">
        <x:v>中</x:v>
      </x:c>
      <x:c r="I203" s="24" t="str">
        <x:v>是</x:v>
      </x:c>
      <x:c r="J203" s="24" t="str">
        <x:v>否</x:v>
      </x:c>
      <x:c r="K203" s="24" t="str">
        <x:v>否</x:v>
      </x:c>
      <x:c r="L203" s="24" t="str"/>
      <x:c r="M203" s="28" t="n">
        <x:v>1.1</x:v>
      </x:c>
      <x:c r="N203" s="26" t="n">
        <x:v>24</x:v>
      </x:c>
      <x:c r="O203" s="26" t="n">
        <x:v>72</x:v>
      </x:c>
      <x:c r="P203" s="24" t="str">
        <x:v>是</x:v>
      </x:c>
      <x:c r="Q203" s="24" t="str">
        <x:v>3區</x:v>
      </x:c>
      <x:c r="R203" s="26" t="n">
        <x:v>36</x:v>
      </x:c>
      <x:c r="S203" s="24" t="str">
        <x:v>低頻、液體</x:v>
      </x:c>
    </x:row>
    <x:row r="204">
      <x:c r="A204" s="24" t="str">
        <x:v>PX0200</x:v>
      </x:c>
      <x:c r="B204" s="24" t="str">
        <x:v>衣架組-促銷組</x:v>
      </x:c>
      <x:c r="C204" s="24" t="str">
        <x:v>家用品</x:v>
      </x:c>
      <x:c r="D204" s="24" t="str">
        <x:v>Cluster 5</x:v>
      </x:c>
      <x:c r="E204" s="26" t="n">
        <x:v>22</x:v>
      </x:c>
      <x:c r="F204" s="26" t="n">
        <x:v>13</x:v>
      </x:c>
      <x:c r="G204" s="24" t="str">
        <x:v>中</x:v>
      </x:c>
      <x:c r="H204" s="24" t="str">
        <x:v>中</x:v>
      </x:c>
      <x:c r="I204" s="24" t="str">
        <x:v>否</x:v>
      </x:c>
      <x:c r="J204" s="24" t="str">
        <x:v>否</x:v>
      </x:c>
      <x:c r="K204" s="24" t="str">
        <x:v>否</x:v>
      </x:c>
      <x:c r="L204" s="24" t="str"/>
      <x:c r="M204" s="28" t="n">
        <x:v>1</x:v>
      </x:c>
      <x:c r="N204" s="26" t="n">
        <x:v>48</x:v>
      </x:c>
      <x:c r="O204" s="26" t="str"/>
      <x:c r="P204" s="24" t="str">
        <x:v>否</x:v>
      </x:c>
      <x:c r="Q204" s="24" t="str">
        <x:v>1區</x:v>
      </x:c>
      <x:c r="R204" s="26" t="n">
        <x:v>28</x:v>
      </x:c>
      <x:c r="S204" s="24" t="str">
        <x:v>低頻</x:v>
      </x:c>
    </x:row>
    <x:row r="205">
      <x:c r="A205" s="24" t="str">
        <x:v>PX0201</x:v>
      </x:c>
      <x:c r="B205" s="24" t="str">
        <x:v>年節禮盒組-箱裝</x:v>
      </x:c>
      <x:c r="C205" s="24" t="str">
        <x:v>季節商品</x:v>
      </x:c>
      <x:c r="D205" s="24" t="str">
        <x:v>Cluster 4</x:v>
      </x:c>
      <x:c r="E205" s="26" t="n">
        <x:v>163</x:v>
      </x:c>
      <x:c r="F205" s="26" t="n">
        <x:v>68</x:v>
      </x:c>
      <x:c r="G205" s="24" t="str">
        <x:v>大</x:v>
      </x:c>
      <x:c r="H205" s="24" t="str">
        <x:v>中</x:v>
      </x:c>
      <x:c r="I205" s="24" t="str">
        <x:v>否</x:v>
      </x:c>
      <x:c r="J205" s="24" t="str">
        <x:v>是</x:v>
      </x:c>
      <x:c r="K205" s="24" t="str">
        <x:v>是</x:v>
      </x:c>
      <x:c r="L205" s="24" t="str">
        <x:v>1-2月</x:v>
      </x:c>
      <x:c r="M205" s="28" t="n">
        <x:v>2</x:v>
      </x:c>
      <x:c r="N205" s="26" t="n">
        <x:v>735</x:v>
      </x:c>
      <x:c r="O205" s="26" t="n">
        <x:v>24</x:v>
      </x:c>
      <x:c r="P205" s="24" t="str">
        <x:v>是</x:v>
      </x:c>
      <x:c r="Q205" s="24" t="str">
        <x:v>彈性區</x:v>
      </x:c>
      <x:c r="R205" s="26" t="n">
        <x:v>50</x:v>
      </x:c>
      <x:c r="S205" s="24" t="str">
        <x:v>高頻、體積大、易碎、季節性</x:v>
      </x:c>
    </x:row>
    <x:row r="206">
      <x:c r="A206" s="24" t="str">
        <x:v>PX0202</x:v>
      </x:c>
      <x:c r="B206" s="24" t="str">
        <x:v>抹布組-箱裝</x:v>
      </x:c>
      <x:c r="C206" s="24" t="str">
        <x:v>家用品</x:v>
      </x:c>
      <x:c r="D206" s="24" t="str">
        <x:v>Cluster 5</x:v>
      </x:c>
      <x:c r="E206" s="26" t="n">
        <x:v>86</x:v>
      </x:c>
      <x:c r="F206" s="26" t="n">
        <x:v>62</x:v>
      </x:c>
      <x:c r="G206" s="24" t="str">
        <x:v>中</x:v>
      </x:c>
      <x:c r="H206" s="24" t="str">
        <x:v>中</x:v>
      </x:c>
      <x:c r="I206" s="24" t="str">
        <x:v>否</x:v>
      </x:c>
      <x:c r="J206" s="24" t="str">
        <x:v>否</x:v>
      </x:c>
      <x:c r="K206" s="24" t="str">
        <x:v>否</x:v>
      </x:c>
      <x:c r="L206" s="24" t="str"/>
      <x:c r="M206" s="28" t="n">
        <x:v>1.1</x:v>
      </x:c>
      <x:c r="N206" s="26" t="n">
        <x:v>322</x:v>
      </x:c>
      <x:c r="O206" s="26" t="n">
        <x:v>72</x:v>
      </x:c>
      <x:c r="P206" s="24" t="str">
        <x:v>是</x:v>
      </x:c>
      <x:c r="Q206" s="24" t="str">
        <x:v>3區</x:v>
      </x:c>
      <x:c r="R206" s="26" t="n">
        <x:v>37</x:v>
      </x:c>
      <x:c r="S206" s="24" t="str">
        <x:v>高頻</x:v>
      </x:c>
    </x:row>
    <x:row r="207">
      <x:c r="A207" s="24" t="str">
        <x:v>PX0203</x:v>
      </x:c>
      <x:c r="B207" s="24" t="str">
        <x:v>咖哩塊箱-小包裝</x:v>
      </x:c>
      <x:c r="C207" s="24" t="str">
        <x:v>食品類</x:v>
      </x:c>
      <x:c r="D207" s="24" t="str">
        <x:v>Cluster 5</x:v>
      </x:c>
      <x:c r="E207" s="26" t="n">
        <x:v>73</x:v>
      </x:c>
      <x:c r="F207" s="26" t="n">
        <x:v>50</x:v>
      </x:c>
      <x:c r="G207" s="24" t="str">
        <x:v>中</x:v>
      </x:c>
      <x:c r="H207" s="24" t="str">
        <x:v>中</x:v>
      </x:c>
      <x:c r="I207" s="24" t="str">
        <x:v>否</x:v>
      </x:c>
      <x:c r="J207" s="24" t="str">
        <x:v>否</x:v>
      </x:c>
      <x:c r="K207" s="24" t="str">
        <x:v>否</x:v>
      </x:c>
      <x:c r="L207" s="24" t="str"/>
      <x:c r="M207" s="28" t="n">
        <x:v>1</x:v>
      </x:c>
      <x:c r="N207" s="26" t="n">
        <x:v>167</x:v>
      </x:c>
      <x:c r="O207" s="26" t="n">
        <x:v>72</x:v>
      </x:c>
      <x:c r="P207" s="24" t="str">
        <x:v>是</x:v>
      </x:c>
      <x:c r="Q207" s="24" t="str">
        <x:v>1區</x:v>
      </x:c>
      <x:c r="R207" s="26" t="n">
        <x:v>41</x:v>
      </x:c>
      <x:c r="S207" s="24" t="str">
        <x:v>中頻</x:v>
      </x:c>
    </x:row>
    <x:row r="208">
      <x:c r="A208" s="24" t="str">
        <x:v>PX0204</x:v>
      </x:c>
      <x:c r="B208" s="24" t="str">
        <x:v>寵物尿布墊-標準箱</x:v>
      </x:c>
      <x:c r="C208" s="24" t="str">
        <x:v>寵物用品</x:v>
      </x:c>
      <x:c r="D208" s="24" t="str">
        <x:v>Cluster 2</x:v>
      </x:c>
      <x:c r="E208" s="26" t="n">
        <x:v>30</x:v>
      </x:c>
      <x:c r="F208" s="26" t="n">
        <x:v>18</x:v>
      </x:c>
      <x:c r="G208" s="24" t="str">
        <x:v>大</x:v>
      </x:c>
      <x:c r="H208" s="24" t="str">
        <x:v>中</x:v>
      </x:c>
      <x:c r="I208" s="24" t="str">
        <x:v>否</x:v>
      </x:c>
      <x:c r="J208" s="24" t="str">
        <x:v>否</x:v>
      </x:c>
      <x:c r="K208" s="24" t="str">
        <x:v>否</x:v>
      </x:c>
      <x:c r="L208" s="24" t="str"/>
      <x:c r="M208" s="28" t="n">
        <x:v>1</x:v>
      </x:c>
      <x:c r="N208" s="26" t="n">
        <x:v>97</x:v>
      </x:c>
      <x:c r="O208" s="26" t="n">
        <x:v>18</x:v>
      </x:c>
      <x:c r="P208" s="24" t="str">
        <x:v>是</x:v>
      </x:c>
      <x:c r="Q208" s="24" t="str">
        <x:v>1區</x:v>
      </x:c>
      <x:c r="R208" s="26" t="n">
        <x:v>30</x:v>
      </x:c>
      <x:c r="S208" s="24" t="str">
        <x:v>低頻、體積大</x:v>
      </x:c>
    </x:row>
    <x:row r="209">
      <x:c r="A209" s="24" t="str">
        <x:v>PX0205</x:v>
      </x:c>
      <x:c r="B209" s="24" t="str">
        <x:v>備用耗材-箱裝</x:v>
      </x:c>
      <x:c r="C209" s="24" t="str">
        <x:v>耗材類</x:v>
      </x:c>
      <x:c r="D209" s="24" t="str">
        <x:v>Cluster 5</x:v>
      </x:c>
      <x:c r="E209" s="26" t="n">
        <x:v>76</x:v>
      </x:c>
      <x:c r="F209" s="26" t="n">
        <x:v>44</x:v>
      </x:c>
      <x:c r="G209" s="24" t="str">
        <x:v>小</x:v>
      </x:c>
      <x:c r="H209" s="24" t="str">
        <x:v>輕</x:v>
      </x:c>
      <x:c r="I209" s="24" t="str">
        <x:v>否</x:v>
      </x:c>
      <x:c r="J209" s="24" t="str">
        <x:v>否</x:v>
      </x:c>
      <x:c r="K209" s="24" t="str">
        <x:v>否</x:v>
      </x:c>
      <x:c r="L209" s="24" t="str"/>
      <x:c r="M209" s="28" t="n">
        <x:v>1.1</x:v>
      </x:c>
      <x:c r="N209" s="26" t="n">
        <x:v>207</x:v>
      </x:c>
      <x:c r="O209" s="26" t="n">
        <x:v>60</x:v>
      </x:c>
      <x:c r="P209" s="24" t="str">
        <x:v>是</x:v>
      </x:c>
      <x:c r="Q209" s="24" t="str">
        <x:v>3區</x:v>
      </x:c>
      <x:c r="R209" s="26" t="n">
        <x:v>38</x:v>
      </x:c>
      <x:c r="S209" s="24" t="str">
        <x:v>中頻</x:v>
      </x:c>
    </x:row>
    <x:row r="210">
      <x:c r="A210" s="24" t="str">
        <x:v>PX0206</x:v>
      </x:c>
      <x:c r="B210" s="24" t="str">
        <x:v>瓶裝水600ml-促銷組</x:v>
      </x:c>
      <x:c r="C210" s="24" t="str">
        <x:v>飲品類</x:v>
      </x:c>
      <x:c r="D210" s="24" t="str">
        <x:v>Cluster 1</x:v>
      </x:c>
      <x:c r="E210" s="26" t="n">
        <x:v>13</x:v>
      </x:c>
      <x:c r="F210" s="26" t="n">
        <x:v>9</x:v>
      </x:c>
      <x:c r="G210" s="24" t="str">
        <x:v>中</x:v>
      </x:c>
      <x:c r="H210" s="24" t="str">
        <x:v>重</x:v>
      </x:c>
      <x:c r="I210" s="24" t="str">
        <x:v>是</x:v>
      </x:c>
      <x:c r="J210" s="24" t="str">
        <x:v>否</x:v>
      </x:c>
      <x:c r="K210" s="24" t="str">
        <x:v>否</x:v>
      </x:c>
      <x:c r="L210" s="24" t="str"/>
      <x:c r="M210" s="28" t="n">
        <x:v>1.5</x:v>
      </x:c>
      <x:c r="N210" s="26" t="n">
        <x:v>38</x:v>
      </x:c>
      <x:c r="O210" s="26" t="n">
        <x:v>32</x:v>
      </x:c>
      <x:c r="P210" s="24" t="str">
        <x:v>是</x:v>
      </x:c>
      <x:c r="Q210" s="24" t="str">
        <x:v>K區</x:v>
      </x:c>
      <x:c r="R210" s="26" t="n">
        <x:v>43</x:v>
      </x:c>
      <x:c r="S210" s="24" t="str">
        <x:v>低頻、重物、液體</x:v>
      </x:c>
    </x:row>
    <x:row r="211">
      <x:c r="A211" s="24" t="str">
        <x:v>PX0207</x:v>
      </x:c>
      <x:c r="B211" s="24" t="str">
        <x:v>保鮮膜-促銷組</x:v>
      </x:c>
      <x:c r="C211" s="24" t="str">
        <x:v>家用品</x:v>
      </x:c>
      <x:c r="D211" s="24" t="str">
        <x:v>Cluster 5</x:v>
      </x:c>
      <x:c r="E211" s="26" t="n">
        <x:v>74</x:v>
      </x:c>
      <x:c r="F211" s="26" t="n">
        <x:v>36</x:v>
      </x:c>
      <x:c r="G211" s="24" t="str">
        <x:v>小</x:v>
      </x:c>
      <x:c r="H211" s="24" t="str">
        <x:v>輕</x:v>
      </x:c>
      <x:c r="I211" s="24" t="str">
        <x:v>否</x:v>
      </x:c>
      <x:c r="J211" s="24" t="str">
        <x:v>否</x:v>
      </x:c>
      <x:c r="K211" s="24" t="str">
        <x:v>否</x:v>
      </x:c>
      <x:c r="L211" s="24" t="str"/>
      <x:c r="M211" s="28" t="n">
        <x:v>1.1</x:v>
      </x:c>
      <x:c r="N211" s="26" t="n">
        <x:v>162</x:v>
      </x:c>
      <x:c r="O211" s="26" t="n">
        <x:v>72</x:v>
      </x:c>
      <x:c r="P211" s="24" t="str">
        <x:v>是</x:v>
      </x:c>
      <x:c r="Q211" s="24" t="str">
        <x:v>3區</x:v>
      </x:c>
      <x:c r="R211" s="26" t="n">
        <x:v>47</x:v>
      </x:c>
      <x:c r="S211" s="24" t="str">
        <x:v>中頻</x:v>
      </x:c>
    </x:row>
    <x:row r="212">
      <x:c r="A212" s="24" t="str">
        <x:v>PX0208</x:v>
      </x:c>
      <x:c r="B212" s="24" t="str">
        <x:v>柔軟精-標準箱</x:v>
      </x:c>
      <x:c r="C212" s="24" t="str">
        <x:v>清潔用品</x:v>
      </x:c>
      <x:c r="D212" s="24" t="str">
        <x:v>Cluster 1</x:v>
      </x:c>
      <x:c r="E212" s="26" t="n">
        <x:v>59</x:v>
      </x:c>
      <x:c r="F212" s="26" t="n">
        <x:v>35</x:v>
      </x:c>
      <x:c r="G212" s="24" t="str">
        <x:v>小</x:v>
      </x:c>
      <x:c r="H212" s="24" t="str">
        <x:v>中</x:v>
      </x:c>
      <x:c r="I212" s="24" t="str">
        <x:v>是</x:v>
      </x:c>
      <x:c r="J212" s="24" t="str">
        <x:v>否</x:v>
      </x:c>
      <x:c r="K212" s="24" t="str">
        <x:v>否</x:v>
      </x:c>
      <x:c r="L212" s="24" t="str"/>
      <x:c r="M212" s="28" t="n">
        <x:v>1</x:v>
      </x:c>
      <x:c r="N212" s="26" t="n">
        <x:v>177</x:v>
      </x:c>
      <x:c r="O212" s="26" t="n">
        <x:v>48</x:v>
      </x:c>
      <x:c r="P212" s="24" t="str">
        <x:v>是</x:v>
      </x:c>
      <x:c r="Q212" s="24" t="str">
        <x:v>1區</x:v>
      </x:c>
      <x:c r="R212" s="26" t="n">
        <x:v>34</x:v>
      </x:c>
      <x:c r="S212" s="24" t="str">
        <x:v>中頻、液體</x:v>
      </x:c>
    </x:row>
    <x:row r="213">
      <x:c r="A213" s="24" t="str">
        <x:v>PX0209</x:v>
      </x:c>
      <x:c r="B213" s="24" t="str">
        <x:v>瓶裝水600ml-小包裝</x:v>
      </x:c>
      <x:c r="C213" s="24" t="str">
        <x:v>飲品類</x:v>
      </x:c>
      <x:c r="D213" s="24" t="str">
        <x:v>Cluster 1</x:v>
      </x:c>
      <x:c r="E213" s="26" t="n">
        <x:v>7</x:v>
      </x:c>
      <x:c r="F213" s="26" t="n">
        <x:v>3</x:v>
      </x:c>
      <x:c r="G213" s="24" t="str">
        <x:v>中</x:v>
      </x:c>
      <x:c r="H213" s="24" t="str">
        <x:v>重</x:v>
      </x:c>
      <x:c r="I213" s="24" t="str">
        <x:v>是</x:v>
      </x:c>
      <x:c r="J213" s="24" t="str">
        <x:v>否</x:v>
      </x:c>
      <x:c r="K213" s="24" t="str">
        <x:v>否</x:v>
      </x:c>
      <x:c r="L213" s="24" t="str"/>
      <x:c r="M213" s="28" t="n">
        <x:v>1.5</x:v>
      </x:c>
      <x:c r="N213" s="26" t="n">
        <x:v>20</x:v>
      </x:c>
      <x:c r="O213" s="26" t="n">
        <x:v>48</x:v>
      </x:c>
      <x:c r="P213" s="24" t="str">
        <x:v>是</x:v>
      </x:c>
      <x:c r="Q213" s="24" t="str">
        <x:v>A區</x:v>
      </x:c>
      <x:c r="R213" s="26" t="n">
        <x:v>21</x:v>
      </x:c>
      <x:c r="S213" s="24" t="str">
        <x:v>低頻、重物、液體</x:v>
      </x:c>
    </x:row>
    <x:row r="214">
      <x:c r="A214" s="24" t="str">
        <x:v>PX0210</x:v>
      </x:c>
      <x:c r="B214" s="24" t="str">
        <x:v>浴廁清潔劑-標準箱</x:v>
      </x:c>
      <x:c r="C214" s="24" t="str">
        <x:v>清潔用品</x:v>
      </x:c>
      <x:c r="D214" s="24" t="str">
        <x:v>Cluster 1</x:v>
      </x:c>
      <x:c r="E214" s="26" t="n">
        <x:v>12</x:v>
      </x:c>
      <x:c r="F214" s="26" t="n">
        <x:v>5</x:v>
      </x:c>
      <x:c r="G214" s="24" t="str">
        <x:v>中</x:v>
      </x:c>
      <x:c r="H214" s="24" t="str">
        <x:v>中</x:v>
      </x:c>
      <x:c r="I214" s="24" t="str">
        <x:v>是</x:v>
      </x:c>
      <x:c r="J214" s="24" t="str">
        <x:v>否</x:v>
      </x:c>
      <x:c r="K214" s="24" t="str">
        <x:v>否</x:v>
      </x:c>
      <x:c r="L214" s="24" t="str"/>
      <x:c r="M214" s="28" t="n">
        <x:v>1.1</x:v>
      </x:c>
      <x:c r="N214" s="26" t="n">
        <x:v>55</x:v>
      </x:c>
      <x:c r="O214" s="26" t="n">
        <x:v>80</x:v>
      </x:c>
      <x:c r="P214" s="24" t="str">
        <x:v>是</x:v>
      </x:c>
      <x:c r="Q214" s="24" t="str">
        <x:v>3區</x:v>
      </x:c>
      <x:c r="R214" s="26" t="n">
        <x:v>48</x:v>
      </x:c>
      <x:c r="S214" s="24" t="str">
        <x:v>低頻、液體</x:v>
      </x:c>
    </x:row>
    <x:row r="215">
      <x:c r="A215" s="24" t="str">
        <x:v>PX0211</x:v>
      </x:c>
      <x:c r="B215" s="24" t="str">
        <x:v>暖暖包-補充包</x:v>
      </x:c>
      <x:c r="C215" s="24" t="str">
        <x:v>季節商品</x:v>
      </x:c>
      <x:c r="D215" s="24" t="str">
        <x:v>Cluster 4</x:v>
      </x:c>
      <x:c r="E215" s="26" t="n">
        <x:v>25</x:v>
      </x:c>
      <x:c r="F215" s="26" t="n">
        <x:v>5</x:v>
      </x:c>
      <x:c r="G215" s="24" t="str">
        <x:v>大</x:v>
      </x:c>
      <x:c r="H215" s="24" t="str">
        <x:v>輕</x:v>
      </x:c>
      <x:c r="I215" s="24" t="str">
        <x:v>否</x:v>
      </x:c>
      <x:c r="J215" s="24" t="str">
        <x:v>否</x:v>
      </x:c>
      <x:c r="K215" s="24" t="str">
        <x:v>是</x:v>
      </x:c>
      <x:c r="L215" s="24" t="str">
        <x:v>11-2月</x:v>
      </x:c>
      <x:c r="M215" s="28" t="n">
        <x:v>2.5</x:v>
      </x:c>
      <x:c r="N215" s="26" t="n">
        <x:v>51</x:v>
      </x:c>
      <x:c r="O215" s="26" t="n">
        <x:v>30</x:v>
      </x:c>
      <x:c r="P215" s="24" t="str">
        <x:v>是</x:v>
      </x:c>
      <x:c r="Q215" s="24" t="str">
        <x:v>遠端區</x:v>
      </x:c>
      <x:c r="R215" s="26" t="n">
        <x:v>68</x:v>
      </x:c>
      <x:c r="S215" s="24" t="str">
        <x:v>低頻、體積大、季節性</x:v>
      </x:c>
    </x:row>
    <x:row r="216">
      <x:c r="A216" s="24" t="str">
        <x:v>PX0212</x:v>
      </x:c>
      <x:c r="B216" s="24" t="str">
        <x:v>備用耗材-補充包</x:v>
      </x:c>
      <x:c r="C216" s="24" t="str">
        <x:v>耗材類</x:v>
      </x:c>
      <x:c r="D216" s="24" t="str">
        <x:v>Cluster 5</x:v>
      </x:c>
      <x:c r="E216" s="26" t="n">
        <x:v>58</x:v>
      </x:c>
      <x:c r="F216" s="26" t="n">
        <x:v>33</x:v>
      </x:c>
      <x:c r="G216" s="24" t="str">
        <x:v>中</x:v>
      </x:c>
      <x:c r="H216" s="24" t="str">
        <x:v>中</x:v>
      </x:c>
      <x:c r="I216" s="24" t="str">
        <x:v>否</x:v>
      </x:c>
      <x:c r="J216" s="24" t="str">
        <x:v>否</x:v>
      </x:c>
      <x:c r="K216" s="24" t="str">
        <x:v>否</x:v>
      </x:c>
      <x:c r="L216" s="24" t="str"/>
      <x:c r="M216" s="28" t="n">
        <x:v>1.1</x:v>
      </x:c>
      <x:c r="N216" s="26" t="n">
        <x:v>119</x:v>
      </x:c>
      <x:c r="O216" s="26" t="str"/>
      <x:c r="P216" s="24" t="str">
        <x:v>否</x:v>
      </x:c>
      <x:c r="Q216" s="24" t="str">
        <x:v>3區</x:v>
      </x:c>
      <x:c r="R216" s="26" t="n">
        <x:v>47</x:v>
      </x:c>
      <x:c r="S216" s="24" t="str">
        <x:v>中頻</x:v>
      </x:c>
    </x:row>
    <x:row r="217">
      <x:c r="A217" s="24" t="str">
        <x:v>PX0213</x:v>
      </x:c>
      <x:c r="B217" s="24" t="str">
        <x:v>牙膏組-促銷組</x:v>
      </x:c>
      <x:c r="C217" s="24" t="str">
        <x:v>日用品</x:v>
      </x:c>
      <x:c r="D217" s="24" t="str">
        <x:v>Cluster 2</x:v>
      </x:c>
      <x:c r="E217" s="26" t="n">
        <x:v>36</x:v>
      </x:c>
      <x:c r="F217" s="26" t="n">
        <x:v>18</x:v>
      </x:c>
      <x:c r="G217" s="24" t="str">
        <x:v>大</x:v>
      </x:c>
      <x:c r="H217" s="24" t="str">
        <x:v>輕</x:v>
      </x:c>
      <x:c r="I217" s="24" t="str">
        <x:v>否</x:v>
      </x:c>
      <x:c r="J217" s="24" t="str">
        <x:v>否</x:v>
      </x:c>
      <x:c r="K217" s="24" t="str">
        <x:v>否</x:v>
      </x:c>
      <x:c r="L217" s="24" t="str"/>
      <x:c r="M217" s="28" t="n">
        <x:v>1</x:v>
      </x:c>
      <x:c r="N217" s="26" t="n">
        <x:v>133</x:v>
      </x:c>
      <x:c r="O217" s="26" t="n">
        <x:v>24</x:v>
      </x:c>
      <x:c r="P217" s="24" t="str">
        <x:v>是</x:v>
      </x:c>
      <x:c r="Q217" s="24" t="str">
        <x:v>3區</x:v>
      </x:c>
      <x:c r="R217" s="26" t="n">
        <x:v>44</x:v>
      </x:c>
      <x:c r="S217" s="24" t="str">
        <x:v>中頻、體積大</x:v>
      </x:c>
    </x:row>
    <x:row r="218">
      <x:c r="A218" s="24" t="str">
        <x:v>PX0214</x:v>
      </x:c>
      <x:c r="B218" s="24" t="str">
        <x:v>洗衣精補充包-補充包</x:v>
      </x:c>
      <x:c r="C218" s="24" t="str">
        <x:v>清潔用品</x:v>
      </x:c>
      <x:c r="D218" s="24" t="str">
        <x:v>Cluster 3</x:v>
      </x:c>
      <x:c r="E218" s="26" t="n">
        <x:v>89</x:v>
      </x:c>
      <x:c r="F218" s="26" t="n">
        <x:v>57</x:v>
      </x:c>
      <x:c r="G218" s="24" t="str">
        <x:v>中</x:v>
      </x:c>
      <x:c r="H218" s="24" t="str">
        <x:v>中</x:v>
      </x:c>
      <x:c r="I218" s="24" t="str">
        <x:v>是</x:v>
      </x:c>
      <x:c r="J218" s="24" t="str">
        <x:v>否</x:v>
      </x:c>
      <x:c r="K218" s="24" t="str">
        <x:v>否</x:v>
      </x:c>
      <x:c r="L218" s="24" t="str"/>
      <x:c r="M218" s="28" t="n">
        <x:v>1.1</x:v>
      </x:c>
      <x:c r="N218" s="26" t="n">
        <x:v>204</x:v>
      </x:c>
      <x:c r="O218" s="26" t="n">
        <x:v>80</x:v>
      </x:c>
      <x:c r="P218" s="24" t="str">
        <x:v>是</x:v>
      </x:c>
      <x:c r="Q218" s="24" t="str">
        <x:v>遠端區</x:v>
      </x:c>
      <x:c r="R218" s="26" t="n">
        <x:v>65</x:v>
      </x:c>
      <x:c r="S218" s="24" t="str">
        <x:v>高頻、液體</x:v>
      </x:c>
    </x:row>
    <x:row r="219">
      <x:c r="A219" s="24" t="str">
        <x:v>PX0215</x:v>
      </x:c>
      <x:c r="B219" s="24" t="str">
        <x:v>捲筒衛生紙-家庭號</x:v>
      </x:c>
      <x:c r="C219" s="24" t="str">
        <x:v>紙品類</x:v>
      </x:c>
      <x:c r="D219" s="24" t="str">
        <x:v>Cluster 2</x:v>
      </x:c>
      <x:c r="E219" s="26" t="n">
        <x:v>36</x:v>
      </x:c>
      <x:c r="F219" s="26" t="n">
        <x:v>23</x:v>
      </x:c>
      <x:c r="G219" s="24" t="str">
        <x:v>大</x:v>
      </x:c>
      <x:c r="H219" s="24" t="str">
        <x:v>重</x:v>
      </x:c>
      <x:c r="I219" s="24" t="str">
        <x:v>否</x:v>
      </x:c>
      <x:c r="J219" s="24" t="str">
        <x:v>否</x:v>
      </x:c>
      <x:c r="K219" s="24" t="str">
        <x:v>否</x:v>
      </x:c>
      <x:c r="L219" s="24" t="str"/>
      <x:c r="M219" s="28" t="n">
        <x:v>1</x:v>
      </x:c>
      <x:c r="N219" s="26" t="n">
        <x:v>146</x:v>
      </x:c>
      <x:c r="O219" s="26" t="n">
        <x:v>20</x:v>
      </x:c>
      <x:c r="P219" s="24" t="str">
        <x:v>是</x:v>
      </x:c>
      <x:c r="Q219" s="24" t="str">
        <x:v>彈性區</x:v>
      </x:c>
      <x:c r="R219" s="26" t="n">
        <x:v>54</x:v>
      </x:c>
      <x:c r="S219" s="24" t="str">
        <x:v>中頻、體積大、重物</x:v>
      </x:c>
    </x:row>
    <x:row r="220">
      <x:c r="A220" s="24" t="str">
        <x:v>PX0216</x:v>
      </x:c>
      <x:c r="B220" s="24" t="str">
        <x:v>鋁箔紙-箱裝</x:v>
      </x:c>
      <x:c r="C220" s="24" t="str">
        <x:v>家用品</x:v>
      </x:c>
      <x:c r="D220" s="24" t="str">
        <x:v>Cluster 5</x:v>
      </x:c>
      <x:c r="E220" s="26" t="n">
        <x:v>65</x:v>
      </x:c>
      <x:c r="F220" s="26" t="n">
        <x:v>44</x:v>
      </x:c>
      <x:c r="G220" s="24" t="str">
        <x:v>小</x:v>
      </x:c>
      <x:c r="H220" s="24" t="str">
        <x:v>中</x:v>
      </x:c>
      <x:c r="I220" s="24" t="str">
        <x:v>否</x:v>
      </x:c>
      <x:c r="J220" s="24" t="str">
        <x:v>否</x:v>
      </x:c>
      <x:c r="K220" s="24" t="str">
        <x:v>否</x:v>
      </x:c>
      <x:c r="L220" s="24" t="str"/>
      <x:c r="M220" s="28" t="n">
        <x:v>1</x:v>
      </x:c>
      <x:c r="N220" s="26" t="n">
        <x:v>226</x:v>
      </x:c>
      <x:c r="O220" s="26" t="n">
        <x:v>72</x:v>
      </x:c>
      <x:c r="P220" s="24" t="str">
        <x:v>是</x:v>
      </x:c>
      <x:c r="Q220" s="24" t="str">
        <x:v>3區</x:v>
      </x:c>
      <x:c r="R220" s="26" t="n">
        <x:v>40</x:v>
      </x:c>
      <x:c r="S220" s="24" t="str">
        <x:v>中頻</x:v>
      </x:c>
    </x:row>
    <x:row r="221">
      <x:c r="A221" s="24" t="str">
        <x:v>PX0217</x:v>
      </x:c>
      <x:c r="B221" s="24" t="str">
        <x:v>浴廁清潔劑-家庭號</x:v>
      </x:c>
      <x:c r="C221" s="24" t="str">
        <x:v>清潔用品</x:v>
      </x:c>
      <x:c r="D221" s="24" t="str">
        <x:v>Cluster 4</x:v>
      </x:c>
      <x:c r="E221" s="26" t="n">
        <x:v>34</x:v>
      </x:c>
      <x:c r="F221" s="26" t="n">
        <x:v>13</x:v>
      </x:c>
      <x:c r="G221" s="24" t="str">
        <x:v>中</x:v>
      </x:c>
      <x:c r="H221" s="24" t="str">
        <x:v>中</x:v>
      </x:c>
      <x:c r="I221" s="24" t="str">
        <x:v>是</x:v>
      </x:c>
      <x:c r="J221" s="24" t="str">
        <x:v>否</x:v>
      </x:c>
      <x:c r="K221" s="24" t="str">
        <x:v>是</x:v>
      </x:c>
      <x:c r="L221" s="24" t="str">
        <x:v>旺季</x:v>
      </x:c>
      <x:c r="M221" s="28" t="n">
        <x:v>2</x:v>
      </x:c>
      <x:c r="N221" s="26" t="n">
        <x:v>130</x:v>
      </x:c>
      <x:c r="O221" s="26" t="n">
        <x:v>72</x:v>
      </x:c>
      <x:c r="P221" s="24" t="str">
        <x:v>是</x:v>
      </x:c>
      <x:c r="Q221" s="24" t="str">
        <x:v>1區</x:v>
      </x:c>
      <x:c r="R221" s="26" t="n">
        <x:v>30</x:v>
      </x:c>
      <x:c r="S221" s="24" t="str">
        <x:v>低頻、液體、季節性</x:v>
      </x:c>
    </x:row>
    <x:row r="222">
      <x:c r="A222" s="24" t="str">
        <x:v>PX0218</x:v>
      </x:c>
      <x:c r="B222" s="24" t="str">
        <x:v>標籤紙卷-小包裝</x:v>
      </x:c>
      <x:c r="C222" s="24" t="str">
        <x:v>耗材類</x:v>
      </x:c>
      <x:c r="D222" s="24" t="str">
        <x:v>Cluster 5</x:v>
      </x:c>
      <x:c r="E222" s="26" t="n">
        <x:v>87</x:v>
      </x:c>
      <x:c r="F222" s="26" t="n">
        <x:v>58</x:v>
      </x:c>
      <x:c r="G222" s="24" t="str">
        <x:v>中</x:v>
      </x:c>
      <x:c r="H222" s="24" t="str">
        <x:v>中</x:v>
      </x:c>
      <x:c r="I222" s="24" t="str">
        <x:v>否</x:v>
      </x:c>
      <x:c r="J222" s="24" t="str">
        <x:v>否</x:v>
      </x:c>
      <x:c r="K222" s="24" t="str">
        <x:v>否</x:v>
      </x:c>
      <x:c r="L222" s="24" t="str"/>
      <x:c r="M222" s="28" t="n">
        <x:v>1</x:v>
      </x:c>
      <x:c r="N222" s="26" t="n">
        <x:v>226</x:v>
      </x:c>
      <x:c r="O222" s="26" t="n">
        <x:v>48</x:v>
      </x:c>
      <x:c r="P222" s="24" t="str">
        <x:v>是</x:v>
      </x:c>
      <x:c r="Q222" s="24" t="str">
        <x:v>K區</x:v>
      </x:c>
      <x:c r="R222" s="26" t="n">
        <x:v>43</x:v>
      </x:c>
      <x:c r="S222" s="24" t="str">
        <x:v>高頻</x:v>
      </x:c>
    </x:row>
    <x:row r="223">
      <x:c r="A223" s="24" t="str">
        <x:v>PX0219</x:v>
      </x:c>
      <x:c r="B223" s="24" t="str">
        <x:v>乾電池組-箱裝</x:v>
      </x:c>
      <x:c r="C223" s="24" t="str">
        <x:v>耗材類</x:v>
      </x:c>
      <x:c r="D223" s="24" t="str">
        <x:v>Cluster 5</x:v>
      </x:c>
      <x:c r="E223" s="26" t="n">
        <x:v>184</x:v>
      </x:c>
      <x:c r="F223" s="26" t="n">
        <x:v>87</x:v>
      </x:c>
      <x:c r="G223" s="24" t="str">
        <x:v>小</x:v>
      </x:c>
      <x:c r="H223" s="24" t="str">
        <x:v>中</x:v>
      </x:c>
      <x:c r="I223" s="24" t="str">
        <x:v>否</x:v>
      </x:c>
      <x:c r="J223" s="24" t="str">
        <x:v>否</x:v>
      </x:c>
      <x:c r="K223" s="24" t="str">
        <x:v>否</x:v>
      </x:c>
      <x:c r="L223" s="24" t="str"/>
      <x:c r="M223" s="28" t="n">
        <x:v>1.1</x:v>
      </x:c>
      <x:c r="N223" s="26" t="n">
        <x:v>486</x:v>
      </x:c>
      <x:c r="O223" s="26" t="n">
        <x:v>72</x:v>
      </x:c>
      <x:c r="P223" s="24" t="str">
        <x:v>是</x:v>
      </x:c>
      <x:c r="Q223" s="24" t="str">
        <x:v>A區</x:v>
      </x:c>
      <x:c r="R223" s="26" t="n">
        <x:v>18</x:v>
      </x:c>
      <x:c r="S223" s="24" t="str">
        <x:v>高頻</x:v>
      </x:c>
    </x:row>
    <x:row r="224">
      <x:c r="A224" s="24" t="str">
        <x:v>PX0220</x:v>
      </x:c>
      <x:c r="B224" s="24" t="str">
        <x:v>泡麵箱-家庭號</x:v>
      </x:c>
      <x:c r="C224" s="24" t="str">
        <x:v>食品類</x:v>
      </x:c>
      <x:c r="D224" s="24" t="str">
        <x:v>Cluster 5</x:v>
      </x:c>
      <x:c r="E224" s="26" t="n">
        <x:v>90</x:v>
      </x:c>
      <x:c r="F224" s="26" t="n">
        <x:v>65</x:v>
      </x:c>
      <x:c r="G224" s="24" t="str">
        <x:v>中</x:v>
      </x:c>
      <x:c r="H224" s="24" t="str">
        <x:v>中</x:v>
      </x:c>
      <x:c r="I224" s="24" t="str">
        <x:v>否</x:v>
      </x:c>
      <x:c r="J224" s="24" t="str">
        <x:v>否</x:v>
      </x:c>
      <x:c r="K224" s="24" t="str">
        <x:v>否</x:v>
      </x:c>
      <x:c r="L224" s="24" t="str"/>
      <x:c r="M224" s="28" t="n">
        <x:v>1</x:v>
      </x:c>
      <x:c r="N224" s="26" t="n">
        <x:v>260</x:v>
      </x:c>
      <x:c r="O224" s="26" t="n">
        <x:v>80</x:v>
      </x:c>
      <x:c r="P224" s="24" t="str">
        <x:v>是</x:v>
      </x:c>
      <x:c r="Q224" s="24" t="str">
        <x:v>K區</x:v>
      </x:c>
      <x:c r="R224" s="26" t="n">
        <x:v>55</x:v>
      </x:c>
      <x:c r="S224" s="24" t="str">
        <x:v>高頻</x:v>
      </x:c>
    </x:row>
    <x:row r="225">
      <x:c r="A225" s="24" t="str">
        <x:v>PX0221</x:v>
      </x:c>
      <x:c r="B225" s="24" t="str">
        <x:v>抽取式衛生紙-箱裝</x:v>
      </x:c>
      <x:c r="C225" s="24" t="str">
        <x:v>紙品類</x:v>
      </x:c>
      <x:c r="D225" s="24" t="str">
        <x:v>Cluster 2</x:v>
      </x:c>
      <x:c r="E225" s="26" t="n">
        <x:v>60</x:v>
      </x:c>
      <x:c r="F225" s="26" t="n">
        <x:v>41</x:v>
      </x:c>
      <x:c r="G225" s="24" t="str">
        <x:v>大</x:v>
      </x:c>
      <x:c r="H225" s="24" t="str">
        <x:v>輕</x:v>
      </x:c>
      <x:c r="I225" s="24" t="str">
        <x:v>否</x:v>
      </x:c>
      <x:c r="J225" s="24" t="str">
        <x:v>否</x:v>
      </x:c>
      <x:c r="K225" s="24" t="str">
        <x:v>否</x:v>
      </x:c>
      <x:c r="L225" s="24" t="str"/>
      <x:c r="M225" s="28" t="n">
        <x:v>1</x:v>
      </x:c>
      <x:c r="N225" s="26" t="n">
        <x:v>232</x:v>
      </x:c>
      <x:c r="O225" s="26" t="n">
        <x:v>18</x:v>
      </x:c>
      <x:c r="P225" s="24" t="str">
        <x:v>是</x:v>
      </x:c>
      <x:c r="Q225" s="24" t="str">
        <x:v>1區</x:v>
      </x:c>
      <x:c r="R225" s="26" t="n">
        <x:v>23</x:v>
      </x:c>
      <x:c r="S225" s="24" t="str">
        <x:v>中頻、體積大</x:v>
      </x:c>
    </x:row>
    <x:row r="226">
      <x:c r="A226" s="24" t="str">
        <x:v>PX0222</x:v>
      </x:c>
      <x:c r="B226" s="24" t="str">
        <x:v>寵物尿布墊-補充包</x:v>
      </x:c>
      <x:c r="C226" s="24" t="str">
        <x:v>寵物用品</x:v>
      </x:c>
      <x:c r="D226" s="24" t="str">
        <x:v>Cluster 2</x:v>
      </x:c>
      <x:c r="E226" s="26" t="n">
        <x:v>77</x:v>
      </x:c>
      <x:c r="F226" s="26" t="n">
        <x:v>40</x:v>
      </x:c>
      <x:c r="G226" s="24" t="str">
        <x:v>大</x:v>
      </x:c>
      <x:c r="H226" s="24" t="str">
        <x:v>輕</x:v>
      </x:c>
      <x:c r="I226" s="24" t="str">
        <x:v>否</x:v>
      </x:c>
      <x:c r="J226" s="24" t="str">
        <x:v>否</x:v>
      </x:c>
      <x:c r="K226" s="24" t="str">
        <x:v>否</x:v>
      </x:c>
      <x:c r="L226" s="24" t="str"/>
      <x:c r="M226" s="28" t="n">
        <x:v>1.1</x:v>
      </x:c>
      <x:c r="N226" s="26" t="n">
        <x:v>349</x:v>
      </x:c>
      <x:c r="O226" s="26" t="n">
        <x:v>18</x:v>
      </x:c>
      <x:c r="P226" s="24" t="str">
        <x:v>是</x:v>
      </x:c>
      <x:c r="Q226" s="24" t="str">
        <x:v>彈性區</x:v>
      </x:c>
      <x:c r="R226" s="26" t="n">
        <x:v>46</x:v>
      </x:c>
      <x:c r="S226" s="24" t="str">
        <x:v>中頻、體積大</x:v>
      </x:c>
    </x:row>
    <x:row r="227">
      <x:c r="A227" s="24" t="str">
        <x:v>PX0223</x:v>
      </x:c>
      <x:c r="B227" s="24" t="str">
        <x:v>運動飲料整箱-促銷組</x:v>
      </x:c>
      <x:c r="C227" s="24" t="str">
        <x:v>飲品類</x:v>
      </x:c>
      <x:c r="D227" s="24" t="str">
        <x:v>Cluster 1</x:v>
      </x:c>
      <x:c r="E227" s="26" t="n">
        <x:v>26</x:v>
      </x:c>
      <x:c r="F227" s="26" t="n">
        <x:v>12</x:v>
      </x:c>
      <x:c r="G227" s="24" t="str">
        <x:v>中</x:v>
      </x:c>
      <x:c r="H227" s="24" t="str">
        <x:v>重</x:v>
      </x:c>
      <x:c r="I227" s="24" t="str">
        <x:v>是</x:v>
      </x:c>
      <x:c r="J227" s="24" t="str">
        <x:v>否</x:v>
      </x:c>
      <x:c r="K227" s="24" t="str">
        <x:v>否</x:v>
      </x:c>
      <x:c r="L227" s="24" t="str"/>
      <x:c r="M227" s="28" t="n">
        <x:v>1.5</x:v>
      </x:c>
      <x:c r="N227" s="26" t="n">
        <x:v>78</x:v>
      </x:c>
      <x:c r="O227" s="26" t="n">
        <x:v>32</x:v>
      </x:c>
      <x:c r="P227" s="24" t="str">
        <x:v>是</x:v>
      </x:c>
      <x:c r="Q227" s="24" t="str">
        <x:v>K區</x:v>
      </x:c>
      <x:c r="R227" s="26" t="n">
        <x:v>41</x:v>
      </x:c>
      <x:c r="S227" s="24" t="str">
        <x:v>低頻、重物、液體</x:v>
      </x:c>
    </x:row>
    <x:row r="228">
      <x:c r="A228" s="24" t="str">
        <x:v>PX0224</x:v>
      </x:c>
      <x:c r="B228" s="24" t="str">
        <x:v>洗碗精-小包裝</x:v>
      </x:c>
      <x:c r="C228" s="24" t="str">
        <x:v>清潔用品</x:v>
      </x:c>
      <x:c r="D228" s="24" t="str">
        <x:v>Cluster 3</x:v>
      </x:c>
      <x:c r="E228" s="26" t="n">
        <x:v>115</x:v>
      </x:c>
      <x:c r="F228" s="26" t="n">
        <x:v>79</x:v>
      </x:c>
      <x:c r="G228" s="24" t="str">
        <x:v>小</x:v>
      </x:c>
      <x:c r="H228" s="24" t="str">
        <x:v>中</x:v>
      </x:c>
      <x:c r="I228" s="24" t="str">
        <x:v>是</x:v>
      </x:c>
      <x:c r="J228" s="24" t="str">
        <x:v>否</x:v>
      </x:c>
      <x:c r="K228" s="24" t="str">
        <x:v>否</x:v>
      </x:c>
      <x:c r="L228" s="24" t="str"/>
      <x:c r="M228" s="28" t="n">
        <x:v>1.1</x:v>
      </x:c>
      <x:c r="N228" s="26" t="n">
        <x:v>506</x:v>
      </x:c>
      <x:c r="O228" s="26" t="n">
        <x:v>80</x:v>
      </x:c>
      <x:c r="P228" s="24" t="str">
        <x:v>是</x:v>
      </x:c>
      <x:c r="Q228" s="24" t="str">
        <x:v>遠端區</x:v>
      </x:c>
      <x:c r="R228" s="26" t="n">
        <x:v>61</x:v>
      </x:c>
      <x:c r="S228" s="24" t="str">
        <x:v>高頻、液體</x:v>
      </x:c>
    </x:row>
    <x:row r="229">
      <x:c r="A229" s="24" t="str">
        <x:v>PX0225</x:v>
      </x:c>
      <x:c r="B229" s="24" t="str">
        <x:v>玻璃瓶醬料-標準箱</x:v>
      </x:c>
      <x:c r="C229" s="24" t="str">
        <x:v>食品類</x:v>
      </x:c>
      <x:c r="D229" s="24" t="str">
        <x:v>Cluster 1</x:v>
      </x:c>
      <x:c r="E229" s="26" t="n">
        <x:v>54</x:v>
      </x:c>
      <x:c r="F229" s="26" t="n">
        <x:v>35</x:v>
      </x:c>
      <x:c r="G229" s="24" t="str">
        <x:v>中</x:v>
      </x:c>
      <x:c r="H229" s="24" t="str">
        <x:v>中</x:v>
      </x:c>
      <x:c r="I229" s="24" t="str">
        <x:v>否</x:v>
      </x:c>
      <x:c r="J229" s="24" t="str">
        <x:v>是</x:v>
      </x:c>
      <x:c r="K229" s="24" t="str">
        <x:v>否</x:v>
      </x:c>
      <x:c r="L229" s="24" t="str"/>
      <x:c r="M229" s="28" t="n">
        <x:v>1</x:v>
      </x:c>
      <x:c r="N229" s="26" t="n">
        <x:v>141</x:v>
      </x:c>
      <x:c r="O229" s="26" t="n">
        <x:v>48</x:v>
      </x:c>
      <x:c r="P229" s="24" t="str">
        <x:v>是</x:v>
      </x:c>
      <x:c r="Q229" s="24" t="str">
        <x:v>遠端區</x:v>
      </x:c>
      <x:c r="R229" s="26" t="n">
        <x:v>57</x:v>
      </x:c>
      <x:c r="S229" s="24" t="str">
        <x:v>中頻、易碎</x:v>
      </x:c>
    </x:row>
    <x:row r="230">
      <x:c r="A230" s="24" t="str">
        <x:v>PX0226</x:v>
      </x:c>
      <x:c r="B230" s="24" t="str">
        <x:v>季節禮盒-標準箱</x:v>
      </x:c>
      <x:c r="C230" s="24" t="str">
        <x:v>季節商品</x:v>
      </x:c>
      <x:c r="D230" s="24" t="str">
        <x:v>Cluster 4</x:v>
      </x:c>
      <x:c r="E230" s="26" t="n">
        <x:v>29</x:v>
      </x:c>
      <x:c r="F230" s="26" t="n">
        <x:v>23</x:v>
      </x:c>
      <x:c r="G230" s="24" t="str">
        <x:v>大</x:v>
      </x:c>
      <x:c r="H230" s="24" t="str">
        <x:v>輕</x:v>
      </x:c>
      <x:c r="I230" s="24" t="str">
        <x:v>否</x:v>
      </x:c>
      <x:c r="J230" s="24" t="str">
        <x:v>是</x:v>
      </x:c>
      <x:c r="K230" s="24" t="str">
        <x:v>是</x:v>
      </x:c>
      <x:c r="L230" s="24" t="str">
        <x:v>1-2月</x:v>
      </x:c>
      <x:c r="M230" s="28" t="n">
        <x:v>2.5</x:v>
      </x:c>
      <x:c r="N230" s="26" t="n">
        <x:v>101</x:v>
      </x:c>
      <x:c r="O230" s="26" t="n">
        <x:v>24</x:v>
      </x:c>
      <x:c r="P230" s="24" t="str">
        <x:v>是</x:v>
      </x:c>
      <x:c r="Q230" s="24" t="str">
        <x:v>遠端區</x:v>
      </x:c>
      <x:c r="R230" s="26" t="n">
        <x:v>75</x:v>
      </x:c>
      <x:c r="S230" s="24" t="str">
        <x:v>低頻、體積大、易碎、季節性</x:v>
      </x:c>
    </x:row>
    <x:row r="231">
      <x:c r="A231" s="24" t="str">
        <x:v>PX0227</x:v>
      </x:c>
      <x:c r="B231" s="24" t="str">
        <x:v>包裝膠帶-家庭號</x:v>
      </x:c>
      <x:c r="C231" s="24" t="str">
        <x:v>耗材類</x:v>
      </x:c>
      <x:c r="D231" s="24" t="str">
        <x:v>Cluster 5</x:v>
      </x:c>
      <x:c r="E231" s="26" t="n">
        <x:v>15</x:v>
      </x:c>
      <x:c r="F231" s="26" t="n">
        <x:v>10</x:v>
      </x:c>
      <x:c r="G231" s="24" t="str">
        <x:v>小</x:v>
      </x:c>
      <x:c r="H231" s="24" t="str">
        <x:v>中</x:v>
      </x:c>
      <x:c r="I231" s="24" t="str">
        <x:v>否</x:v>
      </x:c>
      <x:c r="J231" s="24" t="str">
        <x:v>否</x:v>
      </x:c>
      <x:c r="K231" s="24" t="str">
        <x:v>否</x:v>
      </x:c>
      <x:c r="L231" s="24" t="str"/>
      <x:c r="M231" s="28" t="n">
        <x:v>1</x:v>
      </x:c>
      <x:c r="N231" s="26" t="n">
        <x:v>59</x:v>
      </x:c>
      <x:c r="O231" s="26" t="str"/>
      <x:c r="P231" s="24" t="str">
        <x:v>否</x:v>
      </x:c>
      <x:c r="Q231" s="24" t="str">
        <x:v>3區</x:v>
      </x:c>
      <x:c r="R231" s="26" t="n">
        <x:v>32</x:v>
      </x:c>
      <x:c r="S231" s="24" t="str">
        <x:v>低頻</x:v>
      </x:c>
    </x:row>
    <x:row r="232">
      <x:c r="A232" s="24" t="str">
        <x:v>PX0228</x:v>
      </x:c>
      <x:c r="B232" s="24" t="str">
        <x:v>抹布組-小包裝</x:v>
      </x:c>
      <x:c r="C232" s="24" t="str">
        <x:v>家用品</x:v>
      </x:c>
      <x:c r="D232" s="24" t="str">
        <x:v>Cluster 5</x:v>
      </x:c>
      <x:c r="E232" s="26" t="n">
        <x:v>61</x:v>
      </x:c>
      <x:c r="F232" s="26" t="n">
        <x:v>34</x:v>
      </x:c>
      <x:c r="G232" s="24" t="str">
        <x:v>小</x:v>
      </x:c>
      <x:c r="H232" s="24" t="str">
        <x:v>輕</x:v>
      </x:c>
      <x:c r="I232" s="24" t="str">
        <x:v>否</x:v>
      </x:c>
      <x:c r="J232" s="24" t="str">
        <x:v>否</x:v>
      </x:c>
      <x:c r="K232" s="24" t="str">
        <x:v>否</x:v>
      </x:c>
      <x:c r="L232" s="24" t="str"/>
      <x:c r="M232" s="28" t="n">
        <x:v>1</x:v>
      </x:c>
      <x:c r="N232" s="26" t="n">
        <x:v>197</x:v>
      </x:c>
      <x:c r="O232" s="26" t="n">
        <x:v>72</x:v>
      </x:c>
      <x:c r="P232" s="24" t="str">
        <x:v>是</x:v>
      </x:c>
      <x:c r="Q232" s="24" t="str">
        <x:v>3區</x:v>
      </x:c>
      <x:c r="R232" s="26" t="n">
        <x:v>32</x:v>
      </x:c>
      <x:c r="S232" s="24" t="str">
        <x:v>中頻</x:v>
      </x:c>
    </x:row>
    <x:row r="233">
      <x:c r="A233" s="24" t="str">
        <x:v>PX0229</x:v>
      </x:c>
      <x:c r="B233" s="24" t="str">
        <x:v>寵物罐頭箱-標準箱</x:v>
      </x:c>
      <x:c r="C233" s="24" t="str">
        <x:v>寵物用品</x:v>
      </x:c>
      <x:c r="D233" s="24" t="str">
        <x:v>Cluster 4</x:v>
      </x:c>
      <x:c r="E233" s="26" t="n">
        <x:v>32</x:v>
      </x:c>
      <x:c r="F233" s="26" t="n">
        <x:v>4</x:v>
      </x:c>
      <x:c r="G233" s="24" t="str">
        <x:v>小</x:v>
      </x:c>
      <x:c r="H233" s="24" t="str">
        <x:v>輕</x:v>
      </x:c>
      <x:c r="I233" s="24" t="str">
        <x:v>否</x:v>
      </x:c>
      <x:c r="J233" s="24" t="str">
        <x:v>否</x:v>
      </x:c>
      <x:c r="K233" s="24" t="str">
        <x:v>是</x:v>
      </x:c>
      <x:c r="L233" s="24" t="str">
        <x:v>旺季</x:v>
      </x:c>
      <x:c r="M233" s="28" t="n">
        <x:v>3</x:v>
      </x:c>
      <x:c r="N233" s="26" t="n">
        <x:v>128</x:v>
      </x:c>
      <x:c r="O233" s="26" t="str"/>
      <x:c r="P233" s="24" t="str">
        <x:v>否</x:v>
      </x:c>
      <x:c r="Q233" s="24" t="str">
        <x:v>3區</x:v>
      </x:c>
      <x:c r="R233" s="26" t="n">
        <x:v>32</x:v>
      </x:c>
      <x:c r="S233" s="24" t="str">
        <x:v>低頻、季節性</x:v>
      </x:c>
    </x:row>
    <x:row r="234">
      <x:c r="A234" s="24" t="str">
        <x:v>PX0230</x:v>
      </x:c>
      <x:c r="B234" s="24" t="str">
        <x:v>貓砂10L-小包裝</x:v>
      </x:c>
      <x:c r="C234" s="24" t="str">
        <x:v>寵物用品</x:v>
      </x:c>
      <x:c r="D234" s="24" t="str">
        <x:v>Cluster 2</x:v>
      </x:c>
      <x:c r="E234" s="26" t="n">
        <x:v>68</x:v>
      </x:c>
      <x:c r="F234" s="26" t="n">
        <x:v>33</x:v>
      </x:c>
      <x:c r="G234" s="24" t="str">
        <x:v>大</x:v>
      </x:c>
      <x:c r="H234" s="24" t="str">
        <x:v>重</x:v>
      </x:c>
      <x:c r="I234" s="24" t="str">
        <x:v>否</x:v>
      </x:c>
      <x:c r="J234" s="24" t="str">
        <x:v>否</x:v>
      </x:c>
      <x:c r="K234" s="24" t="str">
        <x:v>否</x:v>
      </x:c>
      <x:c r="L234" s="24" t="str"/>
      <x:c r="M234" s="28" t="n">
        <x:v>1</x:v>
      </x:c>
      <x:c r="N234" s="26" t="n">
        <x:v>264</x:v>
      </x:c>
      <x:c r="O234" s="26" t="n">
        <x:v>20</x:v>
      </x:c>
      <x:c r="P234" s="24" t="str">
        <x:v>是</x:v>
      </x:c>
      <x:c r="Q234" s="24" t="str">
        <x:v>1區</x:v>
      </x:c>
      <x:c r="R234" s="26" t="n">
        <x:v>28</x:v>
      </x:c>
      <x:c r="S234" s="24" t="str">
        <x:v>中頻、體積大、重物</x:v>
      </x:c>
    </x:row>
    <x:row r="235">
      <x:c r="A235" s="24" t="str">
        <x:v>PX0231</x:v>
      </x:c>
      <x:c r="B235" s="24" t="str">
        <x:v>年節禮盒組-家庭號</x:v>
      </x:c>
      <x:c r="C235" s="24" t="str">
        <x:v>季節商品</x:v>
      </x:c>
      <x:c r="D235" s="24" t="str">
        <x:v>Cluster 4</x:v>
      </x:c>
      <x:c r="E235" s="26" t="n">
        <x:v>47</x:v>
      </x:c>
      <x:c r="F235" s="26" t="n">
        <x:v>10</x:v>
      </x:c>
      <x:c r="G235" s="24" t="str">
        <x:v>大</x:v>
      </x:c>
      <x:c r="H235" s="24" t="str">
        <x:v>中</x:v>
      </x:c>
      <x:c r="I235" s="24" t="str">
        <x:v>否</x:v>
      </x:c>
      <x:c r="J235" s="24" t="str">
        <x:v>是</x:v>
      </x:c>
      <x:c r="K235" s="24" t="str">
        <x:v>是</x:v>
      </x:c>
      <x:c r="L235" s="24" t="str">
        <x:v>1-2月</x:v>
      </x:c>
      <x:c r="M235" s="28" t="n">
        <x:v>3</x:v>
      </x:c>
      <x:c r="N235" s="26" t="n">
        <x:v>124</x:v>
      </x:c>
      <x:c r="O235" s="26" t="n">
        <x:v>30</x:v>
      </x:c>
      <x:c r="P235" s="24" t="str">
        <x:v>是</x:v>
      </x:c>
      <x:c r="Q235" s="24" t="str">
        <x:v>K區</x:v>
      </x:c>
      <x:c r="R235" s="26" t="n">
        <x:v>38</x:v>
      </x:c>
      <x:c r="S235" s="24" t="str">
        <x:v>中頻、體積大、易碎、季節性</x:v>
      </x:c>
    </x:row>
    <x:row r="236">
      <x:c r="A236" s="24" t="str">
        <x:v>PX0232</x:v>
      </x:c>
      <x:c r="B236" s="24" t="str">
        <x:v>衣架組-補充包</x:v>
      </x:c>
      <x:c r="C236" s="24" t="str">
        <x:v>家用品</x:v>
      </x:c>
      <x:c r="D236" s="24" t="str">
        <x:v>Cluster 5</x:v>
      </x:c>
      <x:c r="E236" s="26" t="n">
        <x:v>81</x:v>
      </x:c>
      <x:c r="F236" s="26" t="n">
        <x:v>39</x:v>
      </x:c>
      <x:c r="G236" s="24" t="str">
        <x:v>中</x:v>
      </x:c>
      <x:c r="H236" s="24" t="str">
        <x:v>中</x:v>
      </x:c>
      <x:c r="I236" s="24" t="str">
        <x:v>否</x:v>
      </x:c>
      <x:c r="J236" s="24" t="str">
        <x:v>否</x:v>
      </x:c>
      <x:c r="K236" s="24" t="str">
        <x:v>否</x:v>
      </x:c>
      <x:c r="L236" s="24" t="str"/>
      <x:c r="M236" s="28" t="n">
        <x:v>1</x:v>
      </x:c>
      <x:c r="N236" s="26" t="n">
        <x:v>389</x:v>
      </x:c>
      <x:c r="O236" s="26" t="n">
        <x:v>80</x:v>
      </x:c>
      <x:c r="P236" s="24" t="str">
        <x:v>是</x:v>
      </x:c>
      <x:c r="Q236" s="24" t="str">
        <x:v>3區</x:v>
      </x:c>
      <x:c r="R236" s="26" t="n">
        <x:v>36</x:v>
      </x:c>
      <x:c r="S236" s="24" t="str">
        <x:v>高頻</x:v>
      </x:c>
    </x:row>
    <x:row r="237">
      <x:c r="A237" s="24" t="str">
        <x:v>PX0233</x:v>
      </x:c>
      <x:c r="B237" s="24" t="str">
        <x:v>保鮮膜-補充包</x:v>
      </x:c>
      <x:c r="C237" s="24" t="str">
        <x:v>家用品</x:v>
      </x:c>
      <x:c r="D237" s="24" t="str">
        <x:v>Cluster 2</x:v>
      </x:c>
      <x:c r="E237" s="26" t="n">
        <x:v>40</x:v>
      </x:c>
      <x:c r="F237" s="26" t="n">
        <x:v>27</x:v>
      </x:c>
      <x:c r="G237" s="24" t="str">
        <x:v>大</x:v>
      </x:c>
      <x:c r="H237" s="24" t="str">
        <x:v>中</x:v>
      </x:c>
      <x:c r="I237" s="24" t="str">
        <x:v>否</x:v>
      </x:c>
      <x:c r="J237" s="24" t="str">
        <x:v>否</x:v>
      </x:c>
      <x:c r="K237" s="24" t="str">
        <x:v>否</x:v>
      </x:c>
      <x:c r="L237" s="24" t="str"/>
      <x:c r="M237" s="28" t="n">
        <x:v>1.1</x:v>
      </x:c>
      <x:c r="N237" s="26" t="n">
        <x:v>167</x:v>
      </x:c>
      <x:c r="O237" s="26" t="n">
        <x:v>18</x:v>
      </x:c>
      <x:c r="P237" s="24" t="str">
        <x:v>是</x:v>
      </x:c>
      <x:c r="Q237" s="24" t="str">
        <x:v>K區</x:v>
      </x:c>
      <x:c r="R237" s="26" t="n">
        <x:v>44</x:v>
      </x:c>
      <x:c r="S237" s="24" t="str">
        <x:v>中頻、體積大</x:v>
      </x:c>
    </x:row>
    <x:row r="238">
      <x:c r="A238" s="24" t="str">
        <x:v>PX0234</x:v>
      </x:c>
      <x:c r="B238" s="24" t="str">
        <x:v>餅乾箱-標準箱</x:v>
      </x:c>
      <x:c r="C238" s="24" t="str">
        <x:v>食品類</x:v>
      </x:c>
      <x:c r="D238" s="24" t="str">
        <x:v>Cluster 5</x:v>
      </x:c>
      <x:c r="E238" s="26" t="n">
        <x:v>42</x:v>
      </x:c>
      <x:c r="F238" s="26" t="n">
        <x:v>29</x:v>
      </x:c>
      <x:c r="G238" s="24" t="str">
        <x:v>中</x:v>
      </x:c>
      <x:c r="H238" s="24" t="str">
        <x:v>中</x:v>
      </x:c>
      <x:c r="I238" s="24" t="str">
        <x:v>否</x:v>
      </x:c>
      <x:c r="J238" s="24" t="str">
        <x:v>否</x:v>
      </x:c>
      <x:c r="K238" s="24" t="str">
        <x:v>否</x:v>
      </x:c>
      <x:c r="L238" s="24" t="str"/>
      <x:c r="M238" s="28" t="n">
        <x:v>1.1</x:v>
      </x:c>
      <x:c r="N238" s="26" t="n">
        <x:v>109</x:v>
      </x:c>
      <x:c r="O238" s="26" t="str"/>
      <x:c r="P238" s="24" t="str">
        <x:v>否</x:v>
      </x:c>
      <x:c r="Q238" s="24" t="str">
        <x:v>A區</x:v>
      </x:c>
      <x:c r="R238" s="26" t="n">
        <x:v>31</x:v>
      </x:c>
      <x:c r="S238" s="24" t="str">
        <x:v>中頻</x:v>
      </x:c>
    </x:row>
    <x:row r="239">
      <x:c r="A239" s="24" t="str">
        <x:v>PX0235</x:v>
      </x:c>
      <x:c r="B239" s="24" t="str">
        <x:v>漂白水-小包裝</x:v>
      </x:c>
      <x:c r="C239" s="24" t="str">
        <x:v>清潔用品</x:v>
      </x:c>
      <x:c r="D239" s="24" t="str">
        <x:v>Cluster 2</x:v>
      </x:c>
      <x:c r="E239" s="26" t="n">
        <x:v>62</x:v>
      </x:c>
      <x:c r="F239" s="26" t="n">
        <x:v>46</x:v>
      </x:c>
      <x:c r="G239" s="24" t="str">
        <x:v>中</x:v>
      </x:c>
      <x:c r="H239" s="24" t="str">
        <x:v>重</x:v>
      </x:c>
      <x:c r="I239" s="24" t="str">
        <x:v>是</x:v>
      </x:c>
      <x:c r="J239" s="24" t="str">
        <x:v>否</x:v>
      </x:c>
      <x:c r="K239" s="24" t="str">
        <x:v>否</x:v>
      </x:c>
      <x:c r="L239" s="24" t="str"/>
      <x:c r="M239" s="28" t="n">
        <x:v>1.2</x:v>
      </x:c>
      <x:c r="N239" s="26" t="n">
        <x:v>168</x:v>
      </x:c>
      <x:c r="O239" s="26" t="n">
        <x:v>40</x:v>
      </x:c>
      <x:c r="P239" s="24" t="str">
        <x:v>是</x:v>
      </x:c>
      <x:c r="Q239" s="24" t="str">
        <x:v>K區</x:v>
      </x:c>
      <x:c r="R239" s="26" t="n">
        <x:v>54</x:v>
      </x:c>
      <x:c r="S239" s="24" t="str">
        <x:v>中頻、重物、液體</x:v>
      </x:c>
    </x:row>
    <x:row r="240">
      <x:c r="A240" s="24" t="str">
        <x:v>PX0236</x:v>
      </x:c>
      <x:c r="B240" s="24" t="str">
        <x:v>廚房紙巾-小包裝</x:v>
      </x:c>
      <x:c r="C240" s="24" t="str">
        <x:v>紙品類</x:v>
      </x:c>
      <x:c r="D240" s="24" t="str">
        <x:v>Cluster 2</x:v>
      </x:c>
      <x:c r="E240" s="26" t="n">
        <x:v>178</x:v>
      </x:c>
      <x:c r="F240" s="26" t="n">
        <x:v>60</x:v>
      </x:c>
      <x:c r="G240" s="24" t="str">
        <x:v>大</x:v>
      </x:c>
      <x:c r="H240" s="24" t="str">
        <x:v>輕</x:v>
      </x:c>
      <x:c r="I240" s="24" t="str">
        <x:v>否</x:v>
      </x:c>
      <x:c r="J240" s="24" t="str">
        <x:v>否</x:v>
      </x:c>
      <x:c r="K240" s="24" t="str">
        <x:v>否</x:v>
      </x:c>
      <x:c r="L240" s="24" t="str"/>
      <x:c r="M240" s="28" t="n">
        <x:v>1</x:v>
      </x:c>
      <x:c r="N240" s="26" t="n">
        <x:v>575</x:v>
      </x:c>
      <x:c r="O240" s="26" t="n">
        <x:v>18</x:v>
      </x:c>
      <x:c r="P240" s="24" t="str">
        <x:v>是</x:v>
      </x:c>
      <x:c r="Q240" s="24" t="str">
        <x:v>彈性區</x:v>
      </x:c>
      <x:c r="R240" s="26" t="n">
        <x:v>63</x:v>
      </x:c>
      <x:c r="S240" s="24" t="str">
        <x:v>高頻、體積大</x:v>
      </x:c>
    </x:row>
    <x:row r="241">
      <x:c r="A241" s="24" t="str">
        <x:v>PX0237</x:v>
      </x:c>
      <x:c r="B241" s="24" t="str">
        <x:v>衣架組-補充包</x:v>
      </x:c>
      <x:c r="C241" s="24" t="str">
        <x:v>家用品</x:v>
      </x:c>
      <x:c r="D241" s="24" t="str">
        <x:v>Cluster 5</x:v>
      </x:c>
      <x:c r="E241" s="26" t="n">
        <x:v>71</x:v>
      </x:c>
      <x:c r="F241" s="26" t="n">
        <x:v>43</x:v>
      </x:c>
      <x:c r="G241" s="24" t="str">
        <x:v>小</x:v>
      </x:c>
      <x:c r="H241" s="24" t="str">
        <x:v>輕</x:v>
      </x:c>
      <x:c r="I241" s="24" t="str">
        <x:v>否</x:v>
      </x:c>
      <x:c r="J241" s="24" t="str">
        <x:v>否</x:v>
      </x:c>
      <x:c r="K241" s="24" t="str">
        <x:v>否</x:v>
      </x:c>
      <x:c r="L241" s="24" t="str"/>
      <x:c r="M241" s="28" t="n">
        <x:v>1.1</x:v>
      </x:c>
      <x:c r="N241" s="26" t="n">
        <x:v>185</x:v>
      </x:c>
      <x:c r="O241" s="26" t="n">
        <x:v>80</x:v>
      </x:c>
      <x:c r="P241" s="24" t="str">
        <x:v>是</x:v>
      </x:c>
      <x:c r="Q241" s="24" t="str">
        <x:v>彈性區</x:v>
      </x:c>
      <x:c r="R241" s="26" t="n">
        <x:v>59</x:v>
      </x:c>
      <x:c r="S241" s="24" t="str">
        <x:v>中頻</x:v>
      </x:c>
    </x:row>
    <x:row r="242">
      <x:c r="A242" s="24" t="str">
        <x:v>PX0238</x:v>
      </x:c>
      <x:c r="B242" s="24" t="str">
        <x:v>貓砂10L-補充包</x:v>
      </x:c>
      <x:c r="C242" s="24" t="str">
        <x:v>寵物用品</x:v>
      </x:c>
      <x:c r="D242" s="24" t="str">
        <x:v>Cluster 2</x:v>
      </x:c>
      <x:c r="E242" s="26" t="n">
        <x:v>15</x:v>
      </x:c>
      <x:c r="F242" s="26" t="n">
        <x:v>7</x:v>
      </x:c>
      <x:c r="G242" s="24" t="str">
        <x:v>大</x:v>
      </x:c>
      <x:c r="H242" s="24" t="str">
        <x:v>重</x:v>
      </x:c>
      <x:c r="I242" s="24" t="str">
        <x:v>否</x:v>
      </x:c>
      <x:c r="J242" s="24" t="str">
        <x:v>否</x:v>
      </x:c>
      <x:c r="K242" s="24" t="str">
        <x:v>否</x:v>
      </x:c>
      <x:c r="L242" s="24" t="str"/>
      <x:c r="M242" s="28" t="n">
        <x:v>1</x:v>
      </x:c>
      <x:c r="N242" s="26" t="n">
        <x:v>67</x:v>
      </x:c>
      <x:c r="O242" s="26" t="n">
        <x:v>20</x:v>
      </x:c>
      <x:c r="P242" s="24" t="str">
        <x:v>是</x:v>
      </x:c>
      <x:c r="Q242" s="24" t="str">
        <x:v>彈性區</x:v>
      </x:c>
      <x:c r="R242" s="26" t="n">
        <x:v>51</x:v>
      </x:c>
      <x:c r="S242" s="24" t="str">
        <x:v>低頻、體積大、重物</x:v>
      </x:c>
    </x:row>
    <x:row r="243">
      <x:c r="A243" s="24" t="str">
        <x:v>PX0239</x:v>
      </x:c>
      <x:c r="B243" s="24" t="str">
        <x:v>寵物罐頭箱-補充包</x:v>
      </x:c>
      <x:c r="C243" s="24" t="str">
        <x:v>寵物用品</x:v>
      </x:c>
      <x:c r="D243" s="24" t="str">
        <x:v>Cluster 5</x:v>
      </x:c>
      <x:c r="E243" s="26" t="n">
        <x:v>43</x:v>
      </x:c>
      <x:c r="F243" s="26" t="n">
        <x:v>19</x:v>
      </x:c>
      <x:c r="G243" s="24" t="str">
        <x:v>中</x:v>
      </x:c>
      <x:c r="H243" s="24" t="str">
        <x:v>中</x:v>
      </x:c>
      <x:c r="I243" s="24" t="str">
        <x:v>否</x:v>
      </x:c>
      <x:c r="J243" s="24" t="str">
        <x:v>否</x:v>
      </x:c>
      <x:c r="K243" s="24" t="str">
        <x:v>否</x:v>
      </x:c>
      <x:c r="L243" s="24" t="str"/>
      <x:c r="M243" s="28" t="n">
        <x:v>1</x:v>
      </x:c>
      <x:c r="N243" s="26" t="n">
        <x:v>174</x:v>
      </x:c>
      <x:c r="O243" s="26" t="str"/>
      <x:c r="P243" s="24" t="str">
        <x:v>否</x:v>
      </x:c>
      <x:c r="Q243" s="24" t="str">
        <x:v>彈性區</x:v>
      </x:c>
      <x:c r="R243" s="26" t="n">
        <x:v>50</x:v>
      </x:c>
      <x:c r="S243" s="24" t="str">
        <x:v>中頻</x:v>
      </x:c>
    </x:row>
    <x:row r="244">
      <x:c r="A244" s="24" t="str">
        <x:v>PX0240</x:v>
      </x:c>
      <x:c r="B244" s="24" t="str">
        <x:v>地板清潔劑-家庭號</x:v>
      </x:c>
      <x:c r="C244" s="24" t="str">
        <x:v>清潔用品</x:v>
      </x:c>
      <x:c r="D244" s="24" t="str">
        <x:v>Cluster 1</x:v>
      </x:c>
      <x:c r="E244" s="26" t="n">
        <x:v>64</x:v>
      </x:c>
      <x:c r="F244" s="26" t="n">
        <x:v>33</x:v>
      </x:c>
      <x:c r="G244" s="24" t="str">
        <x:v>中</x:v>
      </x:c>
      <x:c r="H244" s="24" t="str">
        <x:v>中</x:v>
      </x:c>
      <x:c r="I244" s="24" t="str">
        <x:v>是</x:v>
      </x:c>
      <x:c r="J244" s="24" t="str">
        <x:v>否</x:v>
      </x:c>
      <x:c r="K244" s="24" t="str">
        <x:v>否</x:v>
      </x:c>
      <x:c r="L244" s="24" t="str"/>
      <x:c r="M244" s="28" t="n">
        <x:v>1</x:v>
      </x:c>
      <x:c r="N244" s="26" t="n">
        <x:v>173</x:v>
      </x:c>
      <x:c r="O244" s="26" t="n">
        <x:v>60</x:v>
      </x:c>
      <x:c r="P244" s="24" t="str">
        <x:v>是</x:v>
      </x:c>
      <x:c r="Q244" s="24" t="str">
        <x:v>K區</x:v>
      </x:c>
      <x:c r="R244" s="26" t="n">
        <x:v>58</x:v>
      </x:c>
      <x:c r="S244" s="24" t="str">
        <x:v>中頻、液體</x:v>
      </x:c>
    </x:row>
    <x:row r="245">
      <x:c r="A245" s="24" t="str">
        <x:v>PX0241</x:v>
      </x:c>
      <x:c r="B245" s="24" t="str">
        <x:v>擦手紙箱-箱裝</x:v>
      </x:c>
      <x:c r="C245" s="24" t="str">
        <x:v>紙品類</x:v>
      </x:c>
      <x:c r="D245" s="24" t="str">
        <x:v>Cluster 5</x:v>
      </x:c>
      <x:c r="E245" s="26" t="n">
        <x:v>40</x:v>
      </x:c>
      <x:c r="F245" s="26" t="n">
        <x:v>27</x:v>
      </x:c>
      <x:c r="G245" s="24" t="str">
        <x:v>小</x:v>
      </x:c>
      <x:c r="H245" s="24" t="str">
        <x:v>輕</x:v>
      </x:c>
      <x:c r="I245" s="24" t="str">
        <x:v>否</x:v>
      </x:c>
      <x:c r="J245" s="24" t="str">
        <x:v>否</x:v>
      </x:c>
      <x:c r="K245" s="24" t="str">
        <x:v>否</x:v>
      </x:c>
      <x:c r="L245" s="24" t="str"/>
      <x:c r="M245" s="28" t="n">
        <x:v>1</x:v>
      </x:c>
      <x:c r="N245" s="26" t="n">
        <x:v>83</x:v>
      </x:c>
      <x:c r="O245" s="26" t="str"/>
      <x:c r="P245" s="24" t="str">
        <x:v>否</x:v>
      </x:c>
      <x:c r="Q245" s="24" t="str">
        <x:v>A區</x:v>
      </x:c>
      <x:c r="R245" s="26" t="n">
        <x:v>36</x:v>
      </x:c>
      <x:c r="S245" s="24" t="str">
        <x:v>中頻</x:v>
      </x:c>
    </x:row>
    <x:row r="246">
      <x:c r="A246" s="24" t="str">
        <x:v>PX0242</x:v>
      </x:c>
      <x:c r="B246" s="24" t="str">
        <x:v>洗衣粉箱-標準箱</x:v>
      </x:c>
      <x:c r="C246" s="24" t="str">
        <x:v>清潔用品</x:v>
      </x:c>
      <x:c r="D246" s="24" t="str">
        <x:v>Cluster 1</x:v>
      </x:c>
      <x:c r="E246" s="26" t="n">
        <x:v>86</x:v>
      </x:c>
      <x:c r="F246" s="26" t="n">
        <x:v>46</x:v>
      </x:c>
      <x:c r="G246" s="24" t="str">
        <x:v>中</x:v>
      </x:c>
      <x:c r="H246" s="24" t="str">
        <x:v>中</x:v>
      </x:c>
      <x:c r="I246" s="24" t="str">
        <x:v>是</x:v>
      </x:c>
      <x:c r="J246" s="24" t="str">
        <x:v>否</x:v>
      </x:c>
      <x:c r="K246" s="24" t="str">
        <x:v>否</x:v>
      </x:c>
      <x:c r="L246" s="24" t="str"/>
      <x:c r="M246" s="28" t="n">
        <x:v>1</x:v>
      </x:c>
      <x:c r="N246" s="26" t="n">
        <x:v>297</x:v>
      </x:c>
      <x:c r="O246" s="26" t="n">
        <x:v>80</x:v>
      </x:c>
      <x:c r="P246" s="24" t="str">
        <x:v>是</x:v>
      </x:c>
      <x:c r="Q246" s="24" t="str">
        <x:v>K區</x:v>
      </x:c>
      <x:c r="R246" s="26" t="n">
        <x:v>41</x:v>
      </x:c>
      <x:c r="S246" s="24" t="str">
        <x:v>高頻、液體</x:v>
      </x:c>
    </x:row>
    <x:row r="247">
      <x:c r="A247" s="24" t="str">
        <x:v>PX0243</x:v>
      </x:c>
      <x:c r="B247" s="24" t="str">
        <x:v>標籤紙卷-家庭號</x:v>
      </x:c>
      <x:c r="C247" s="24" t="str">
        <x:v>耗材類</x:v>
      </x:c>
      <x:c r="D247" s="24" t="str">
        <x:v>Cluster 5</x:v>
      </x:c>
      <x:c r="E247" s="26" t="n">
        <x:v>97</x:v>
      </x:c>
      <x:c r="F247" s="26" t="n">
        <x:v>65</x:v>
      </x:c>
      <x:c r="G247" s="24" t="str">
        <x:v>小</x:v>
      </x:c>
      <x:c r="H247" s="24" t="str">
        <x:v>輕</x:v>
      </x:c>
      <x:c r="I247" s="24" t="str">
        <x:v>否</x:v>
      </x:c>
      <x:c r="J247" s="24" t="str">
        <x:v>否</x:v>
      </x:c>
      <x:c r="K247" s="24" t="str">
        <x:v>否</x:v>
      </x:c>
      <x:c r="L247" s="24" t="str"/>
      <x:c r="M247" s="28" t="n">
        <x:v>1</x:v>
      </x:c>
      <x:c r="N247" s="26" t="n">
        <x:v>382</x:v>
      </x:c>
      <x:c r="O247" s="26" t="n">
        <x:v>48</x:v>
      </x:c>
      <x:c r="P247" s="24" t="str">
        <x:v>是</x:v>
      </x:c>
      <x:c r="Q247" s="24" t="str">
        <x:v>A區</x:v>
      </x:c>
      <x:c r="R247" s="26" t="n">
        <x:v>25</x:v>
      </x:c>
      <x:c r="S247" s="24" t="str">
        <x:v>高頻</x:v>
      </x:c>
    </x:row>
    <x:row r="248">
      <x:c r="A248" s="24" t="str">
        <x:v>PX0244</x:v>
      </x:c>
      <x:c r="B248" s="24" t="str">
        <x:v>寵物罐頭箱-促銷組</x:v>
      </x:c>
      <x:c r="C248" s="24" t="str">
        <x:v>寵物用品</x:v>
      </x:c>
      <x:c r="D248" s="24" t="str">
        <x:v>Cluster 5</x:v>
      </x:c>
      <x:c r="E248" s="26" t="n">
        <x:v>87</x:v>
      </x:c>
      <x:c r="F248" s="26" t="n">
        <x:v>63</x:v>
      </x:c>
      <x:c r="G248" s="24" t="str">
        <x:v>小</x:v>
      </x:c>
      <x:c r="H248" s="24" t="str">
        <x:v>輕</x:v>
      </x:c>
      <x:c r="I248" s="24" t="str">
        <x:v>否</x:v>
      </x:c>
      <x:c r="J248" s="24" t="str">
        <x:v>否</x:v>
      </x:c>
      <x:c r="K248" s="24" t="str">
        <x:v>否</x:v>
      </x:c>
      <x:c r="L248" s="24" t="str"/>
      <x:c r="M248" s="28" t="n">
        <x:v>1</x:v>
      </x:c>
      <x:c r="N248" s="26" t="n">
        <x:v>215</x:v>
      </x:c>
      <x:c r="O248" s="26" t="n">
        <x:v>60</x:v>
      </x:c>
      <x:c r="P248" s="24" t="str">
        <x:v>是</x:v>
      </x:c>
      <x:c r="Q248" s="24" t="str">
        <x:v>1區</x:v>
      </x:c>
      <x:c r="R248" s="26" t="n">
        <x:v>25</x:v>
      </x:c>
      <x:c r="S248" s="24" t="str">
        <x:v>高頻</x:v>
      </x:c>
    </x:row>
    <x:row r="249">
      <x:c r="A249" s="24" t="str">
        <x:v>PX0245</x:v>
      </x:c>
      <x:c r="B249" s="24" t="str">
        <x:v>雨衣組-箱裝</x:v>
      </x:c>
      <x:c r="C249" s="24" t="str">
        <x:v>季節商品</x:v>
      </x:c>
      <x:c r="D249" s="24" t="str">
        <x:v>Cluster 4</x:v>
      </x:c>
      <x:c r="E249" s="26" t="n">
        <x:v>32</x:v>
      </x:c>
      <x:c r="F249" s="26" t="n">
        <x:v>21</x:v>
      </x:c>
      <x:c r="G249" s="24" t="str">
        <x:v>小</x:v>
      </x:c>
      <x:c r="H249" s="24" t="str">
        <x:v>輕</x:v>
      </x:c>
      <x:c r="I249" s="24" t="str">
        <x:v>否</x:v>
      </x:c>
      <x:c r="J249" s="24" t="str">
        <x:v>否</x:v>
      </x:c>
      <x:c r="K249" s="24" t="str">
        <x:v>是</x:v>
      </x:c>
      <x:c r="L249" s="24" t="str">
        <x:v>5-8月</x:v>
      </x:c>
      <x:c r="M249" s="28" t="n">
        <x:v>1.8</x:v>
      </x:c>
      <x:c r="N249" s="26" t="n">
        <x:v>88</x:v>
      </x:c>
      <x:c r="O249" s="26" t="str"/>
      <x:c r="P249" s="24" t="str">
        <x:v>否</x:v>
      </x:c>
      <x:c r="Q249" s="24" t="str">
        <x:v>遠端區</x:v>
      </x:c>
      <x:c r="R249" s="26" t="n">
        <x:v>70</x:v>
      </x:c>
      <x:c r="S249" s="24" t="str">
        <x:v>低頻、季節性</x:v>
      </x:c>
    </x:row>
    <x:row r="250">
      <x:c r="A250" s="24" t="str">
        <x:v>PX0246</x:v>
      </x:c>
      <x:c r="B250" s="24" t="str">
        <x:v>包裝膠帶-家庭號</x:v>
      </x:c>
      <x:c r="C250" s="24" t="str">
        <x:v>耗材類</x:v>
      </x:c>
      <x:c r="D250" s="24" t="str">
        <x:v>Cluster 1</x:v>
      </x:c>
      <x:c r="E250" s="26" t="n">
        <x:v>40</x:v>
      </x:c>
      <x:c r="F250" s="26" t="n">
        <x:v>20</x:v>
      </x:c>
      <x:c r="G250" s="24" t="str">
        <x:v>中</x:v>
      </x:c>
      <x:c r="H250" s="24" t="str">
        <x:v>中</x:v>
      </x:c>
      <x:c r="I250" s="24" t="str">
        <x:v>否</x:v>
      </x:c>
      <x:c r="J250" s="24" t="str">
        <x:v>是</x:v>
      </x:c>
      <x:c r="K250" s="24" t="str">
        <x:v>否</x:v>
      </x:c>
      <x:c r="L250" s="24" t="str"/>
      <x:c r="M250" s="28" t="n">
        <x:v>1.1</x:v>
      </x:c>
      <x:c r="N250" s="26" t="n">
        <x:v>146</x:v>
      </x:c>
      <x:c r="O250" s="26" t="str"/>
      <x:c r="P250" s="24" t="str">
        <x:v>否</x:v>
      </x:c>
      <x:c r="Q250" s="24" t="str">
        <x:v>3區</x:v>
      </x:c>
      <x:c r="R250" s="26" t="n">
        <x:v>44</x:v>
      </x:c>
      <x:c r="S250" s="24" t="str">
        <x:v>中頻、易碎</x:v>
      </x:c>
    </x:row>
    <x:row r="251">
      <x:c r="A251" s="24" t="str">
        <x:v>PX0247</x:v>
      </x:c>
      <x:c r="B251" s="24" t="str">
        <x:v>寵物飼料5kg-箱裝</x:v>
      </x:c>
      <x:c r="C251" s="24" t="str">
        <x:v>寵物用品</x:v>
      </x:c>
      <x:c r="D251" s="24" t="str">
        <x:v>Cluster 2</x:v>
      </x:c>
      <x:c r="E251" s="26" t="n">
        <x:v>51</x:v>
      </x:c>
      <x:c r="F251" s="26" t="n">
        <x:v>31</x:v>
      </x:c>
      <x:c r="G251" s="24" t="str">
        <x:v>大</x:v>
      </x:c>
      <x:c r="H251" s="24" t="str">
        <x:v>重</x:v>
      </x:c>
      <x:c r="I251" s="24" t="str">
        <x:v>否</x:v>
      </x:c>
      <x:c r="J251" s="24" t="str">
        <x:v>否</x:v>
      </x:c>
      <x:c r="K251" s="24" t="str">
        <x:v>否</x:v>
      </x:c>
      <x:c r="L251" s="24" t="str"/>
      <x:c r="M251" s="28" t="n">
        <x:v>1.1</x:v>
      </x:c>
      <x:c r="N251" s="26" t="n">
        <x:v>176</x:v>
      </x:c>
      <x:c r="O251" s="26" t="n">
        <x:v>18</x:v>
      </x:c>
      <x:c r="P251" s="24" t="str">
        <x:v>是</x:v>
      </x:c>
      <x:c r="Q251" s="24" t="str">
        <x:v>A區</x:v>
      </x:c>
      <x:c r="R251" s="26" t="n">
        <x:v>32</x:v>
      </x:c>
      <x:c r="S251" s="24" t="str">
        <x:v>中頻、體積大、重物</x:v>
      </x:c>
    </x:row>
    <x:row r="252">
      <x:c r="A252" s="24" t="str">
        <x:v>PX0248</x:v>
      </x:c>
      <x:c r="B252" s="24" t="str">
        <x:v>漂白水-標準箱</x:v>
      </x:c>
      <x:c r="C252" s="24" t="str">
        <x:v>清潔用品</x:v>
      </x:c>
      <x:c r="D252" s="24" t="str">
        <x:v>Cluster 2</x:v>
      </x:c>
      <x:c r="E252" s="26" t="n">
        <x:v>61</x:v>
      </x:c>
      <x:c r="F252" s="26" t="n">
        <x:v>43</x:v>
      </x:c>
      <x:c r="G252" s="24" t="str">
        <x:v>中</x:v>
      </x:c>
      <x:c r="H252" s="24" t="str">
        <x:v>重</x:v>
      </x:c>
      <x:c r="I252" s="24" t="str">
        <x:v>是</x:v>
      </x:c>
      <x:c r="J252" s="24" t="str">
        <x:v>否</x:v>
      </x:c>
      <x:c r="K252" s="24" t="str">
        <x:v>否</x:v>
      </x:c>
      <x:c r="L252" s="24" t="str"/>
      <x:c r="M252" s="28" t="n">
        <x:v>1.2</x:v>
      </x:c>
      <x:c r="N252" s="26" t="n">
        <x:v>279</x:v>
      </x:c>
      <x:c r="O252" s="26" t="n">
        <x:v>32</x:v>
      </x:c>
      <x:c r="P252" s="24" t="str">
        <x:v>是</x:v>
      </x:c>
      <x:c r="Q252" s="24" t="str">
        <x:v>A區</x:v>
      </x:c>
      <x:c r="R252" s="26" t="n">
        <x:v>25</x:v>
      </x:c>
      <x:c r="S252" s="24" t="str">
        <x:v>中頻、重物、液體</x:v>
      </x:c>
    </x:row>
    <x:row r="253">
      <x:c r="A253" s="24" t="str">
        <x:v>PX0249</x:v>
      </x:c>
      <x:c r="B253" s="24" t="str">
        <x:v>收納箱-箱裝</x:v>
      </x:c>
      <x:c r="C253" s="24" t="str">
        <x:v>家用品</x:v>
      </x:c>
      <x:c r="D253" s="24" t="str">
        <x:v>Cluster 2</x:v>
      </x:c>
      <x:c r="E253" s="26" t="n">
        <x:v>124</x:v>
      </x:c>
      <x:c r="F253" s="26" t="n">
        <x:v>79</x:v>
      </x:c>
      <x:c r="G253" s="24" t="str">
        <x:v>大</x:v>
      </x:c>
      <x:c r="H253" s="24" t="str">
        <x:v>輕</x:v>
      </x:c>
      <x:c r="I253" s="24" t="str">
        <x:v>否</x:v>
      </x:c>
      <x:c r="J253" s="24" t="str">
        <x:v>否</x:v>
      </x:c>
      <x:c r="K253" s="24" t="str">
        <x:v>否</x:v>
      </x:c>
      <x:c r="L253" s="24" t="str"/>
      <x:c r="M253" s="28" t="n">
        <x:v>1</x:v>
      </x:c>
      <x:c r="N253" s="26" t="n">
        <x:v>471</x:v>
      </x:c>
      <x:c r="O253" s="26" t="n">
        <x:v>18</x:v>
      </x:c>
      <x:c r="P253" s="24" t="str">
        <x:v>是</x:v>
      </x:c>
      <x:c r="Q253" s="24" t="str">
        <x:v>3區</x:v>
      </x:c>
      <x:c r="R253" s="26" t="n">
        <x:v>35</x:v>
      </x:c>
      <x:c r="S253" s="24" t="str">
        <x:v>高頻、體積大</x:v>
      </x:c>
    </x:row>
    <x:row r="254">
      <x:c r="A254" s="24" t="str">
        <x:v>PX0250</x:v>
      </x:c>
      <x:c r="B254" s="24" t="str">
        <x:v>口罩盒-小包裝</x:v>
      </x:c>
      <x:c r="C254" s="24" t="str">
        <x:v>日用品</x:v>
      </x:c>
      <x:c r="D254" s="24" t="str">
        <x:v>Cluster 5</x:v>
      </x:c>
      <x:c r="E254" s="26" t="n">
        <x:v>12</x:v>
      </x:c>
      <x:c r="F254" s="26" t="n">
        <x:v>8</x:v>
      </x:c>
      <x:c r="G254" s="24" t="str">
        <x:v>中</x:v>
      </x:c>
      <x:c r="H254" s="24" t="str">
        <x:v>中</x:v>
      </x:c>
      <x:c r="I254" s="24" t="str">
        <x:v>否</x:v>
      </x:c>
      <x:c r="J254" s="24" t="str">
        <x:v>否</x:v>
      </x:c>
      <x:c r="K254" s="24" t="str">
        <x:v>否</x:v>
      </x:c>
      <x:c r="L254" s="24" t="str"/>
      <x:c r="M254" s="28" t="n">
        <x:v>1</x:v>
      </x:c>
      <x:c r="N254" s="26" t="n">
        <x:v>56</x:v>
      </x:c>
      <x:c r="O254" s="26" t="str"/>
      <x:c r="P254" s="24" t="str">
        <x:v>否</x:v>
      </x:c>
      <x:c r="Q254" s="24" t="str">
        <x:v>彈性區</x:v>
      </x:c>
      <x:c r="R254" s="26" t="n">
        <x:v>55</x:v>
      </x:c>
      <x:c r="S254" s="24" t="str">
        <x:v>低頻</x:v>
      </x:c>
    </x:row>
    <x:row r="255">
      <x:c r="A255" s="24" t="str">
        <x:v>PX0251</x:v>
      </x:c>
      <x:c r="B255" s="24" t="str">
        <x:v>柔軟精-小包裝</x:v>
      </x:c>
      <x:c r="C255" s="24" t="str">
        <x:v>清潔用品</x:v>
      </x:c>
      <x:c r="D255" s="24" t="str">
        <x:v>Cluster 1</x:v>
      </x:c>
      <x:c r="E255" s="26" t="n">
        <x:v>53</x:v>
      </x:c>
      <x:c r="F255" s="26" t="n">
        <x:v>31</x:v>
      </x:c>
      <x:c r="G255" s="24" t="str">
        <x:v>中</x:v>
      </x:c>
      <x:c r="H255" s="24" t="str">
        <x:v>中</x:v>
      </x:c>
      <x:c r="I255" s="24" t="str">
        <x:v>是</x:v>
      </x:c>
      <x:c r="J255" s="24" t="str">
        <x:v>否</x:v>
      </x:c>
      <x:c r="K255" s="24" t="str">
        <x:v>否</x:v>
      </x:c>
      <x:c r="L255" s="24" t="str"/>
      <x:c r="M255" s="28" t="n">
        <x:v>1</x:v>
      </x:c>
      <x:c r="N255" s="26" t="n">
        <x:v>255</x:v>
      </x:c>
      <x:c r="O255" s="26" t="n">
        <x:v>60</x:v>
      </x:c>
      <x:c r="P255" s="24" t="str">
        <x:v>是</x:v>
      </x:c>
      <x:c r="Q255" s="24" t="str">
        <x:v>彈性區</x:v>
      </x:c>
      <x:c r="R255" s="26" t="n">
        <x:v>59</x:v>
      </x:c>
      <x:c r="S255" s="24" t="str">
        <x:v>中頻、液體</x:v>
      </x:c>
    </x:row>
    <x:row r="256">
      <x:c r="A256" s="24" t="str">
        <x:v>PX0252</x:v>
      </x:c>
      <x:c r="B256" s="24" t="str">
        <x:v>手套耗材-箱裝</x:v>
      </x:c>
      <x:c r="C256" s="24" t="str">
        <x:v>耗材類</x:v>
      </x:c>
      <x:c r="D256" s="24" t="str">
        <x:v>Cluster 4</x:v>
      </x:c>
      <x:c r="E256" s="26" t="n">
        <x:v>37</x:v>
      </x:c>
      <x:c r="F256" s="26" t="n">
        <x:v>24</x:v>
      </x:c>
      <x:c r="G256" s="24" t="str">
        <x:v>中</x:v>
      </x:c>
      <x:c r="H256" s="24" t="str">
        <x:v>中</x:v>
      </x:c>
      <x:c r="I256" s="24" t="str">
        <x:v>否</x:v>
      </x:c>
      <x:c r="J256" s="24" t="str">
        <x:v>否</x:v>
      </x:c>
      <x:c r="K256" s="24" t="str">
        <x:v>是</x:v>
      </x:c>
      <x:c r="L256" s="24" t="str">
        <x:v>旺季</x:v>
      </x:c>
      <x:c r="M256" s="28" t="n">
        <x:v>2</x:v>
      </x:c>
      <x:c r="N256" s="26" t="n">
        <x:v>86</x:v>
      </x:c>
      <x:c r="O256" s="26" t="str"/>
      <x:c r="P256" s="24" t="str">
        <x:v>否</x:v>
      </x:c>
      <x:c r="Q256" s="24" t="str">
        <x:v>彈性區</x:v>
      </x:c>
      <x:c r="R256" s="26" t="n">
        <x:v>58</x:v>
      </x:c>
      <x:c r="S256" s="24" t="str">
        <x:v>中頻、季節性</x:v>
      </x:c>
    </x:row>
    <x:row r="257">
      <x:c r="A257" s="24" t="str">
        <x:v>PX0253</x:v>
      </x:c>
      <x:c r="B257" s="24" t="str">
        <x:v>洗衣粉箱-補充包</x:v>
      </x:c>
      <x:c r="C257" s="24" t="str">
        <x:v>清潔用品</x:v>
      </x:c>
      <x:c r="D257" s="24" t="str">
        <x:v>Cluster 1</x:v>
      </x:c>
      <x:c r="E257" s="26" t="n">
        <x:v>21</x:v>
      </x:c>
      <x:c r="F257" s="26" t="n">
        <x:v>13</x:v>
      </x:c>
      <x:c r="G257" s="24" t="str">
        <x:v>中</x:v>
      </x:c>
      <x:c r="H257" s="24" t="str">
        <x:v>中</x:v>
      </x:c>
      <x:c r="I257" s="24" t="str">
        <x:v>是</x:v>
      </x:c>
      <x:c r="J257" s="24" t="str">
        <x:v>否</x:v>
      </x:c>
      <x:c r="K257" s="24" t="str">
        <x:v>否</x:v>
      </x:c>
      <x:c r="L257" s="24" t="str"/>
      <x:c r="M257" s="28" t="n">
        <x:v>1.1</x:v>
      </x:c>
      <x:c r="N257" s="26" t="n">
        <x:v>83</x:v>
      </x:c>
      <x:c r="O257" s="26" t="n">
        <x:v>72</x:v>
      </x:c>
      <x:c r="P257" s="24" t="str">
        <x:v>是</x:v>
      </x:c>
      <x:c r="Q257" s="24" t="str">
        <x:v>K區</x:v>
      </x:c>
      <x:c r="R257" s="26" t="n">
        <x:v>39</x:v>
      </x:c>
      <x:c r="S257" s="24" t="str">
        <x:v>低頻、液體</x:v>
      </x:c>
    </x:row>
    <x:row r="258">
      <x:c r="A258" s="24" t="str">
        <x:v>PX0254</x:v>
      </x:c>
      <x:c r="B258" s="24" t="str">
        <x:v>備用耗材-標準箱</x:v>
      </x:c>
      <x:c r="C258" s="24" t="str">
        <x:v>耗材類</x:v>
      </x:c>
      <x:c r="D258" s="24" t="str">
        <x:v>Cluster 5</x:v>
      </x:c>
      <x:c r="E258" s="26" t="n">
        <x:v>21</x:v>
      </x:c>
      <x:c r="F258" s="26" t="n">
        <x:v>15</x:v>
      </x:c>
      <x:c r="G258" s="24" t="str">
        <x:v>小</x:v>
      </x:c>
      <x:c r="H258" s="24" t="str">
        <x:v>重</x:v>
      </x:c>
      <x:c r="I258" s="24" t="str">
        <x:v>否</x:v>
      </x:c>
      <x:c r="J258" s="24" t="str">
        <x:v>否</x:v>
      </x:c>
      <x:c r="K258" s="24" t="str">
        <x:v>否</x:v>
      </x:c>
      <x:c r="L258" s="24" t="str"/>
      <x:c r="M258" s="28" t="n">
        <x:v>1</x:v>
      </x:c>
      <x:c r="N258" s="26" t="n">
        <x:v>97</x:v>
      </x:c>
      <x:c r="O258" s="26" t="n">
        <x:v>36</x:v>
      </x:c>
      <x:c r="P258" s="24" t="str">
        <x:v>是</x:v>
      </x:c>
      <x:c r="Q258" s="24" t="str">
        <x:v>3區</x:v>
      </x:c>
      <x:c r="R258" s="26" t="n">
        <x:v>32</x:v>
      </x:c>
      <x:c r="S258" s="24" t="str">
        <x:v>低頻、重物</x:v>
      </x:c>
    </x:row>
    <x:row r="259">
      <x:c r="A259" s="24" t="str">
        <x:v>PX0255</x:v>
      </x:c>
      <x:c r="B259" s="24" t="str">
        <x:v>茶飲料整箱-小包裝</x:v>
      </x:c>
      <x:c r="C259" s="24" t="str">
        <x:v>飲品類</x:v>
      </x:c>
      <x:c r="D259" s="24" t="str">
        <x:v>Cluster 2</x:v>
      </x:c>
      <x:c r="E259" s="26" t="n">
        <x:v>44</x:v>
      </x:c>
      <x:c r="F259" s="26" t="n">
        <x:v>29</x:v>
      </x:c>
      <x:c r="G259" s="24" t="str">
        <x:v>中</x:v>
      </x:c>
      <x:c r="H259" s="24" t="str">
        <x:v>重</x:v>
      </x:c>
      <x:c r="I259" s="24" t="str">
        <x:v>是</x:v>
      </x:c>
      <x:c r="J259" s="24" t="str">
        <x:v>否</x:v>
      </x:c>
      <x:c r="K259" s="24" t="str">
        <x:v>否</x:v>
      </x:c>
      <x:c r="L259" s="24" t="str"/>
      <x:c r="M259" s="28" t="n">
        <x:v>1.5</x:v>
      </x:c>
      <x:c r="N259" s="26" t="n">
        <x:v>104</x:v>
      </x:c>
      <x:c r="O259" s="26" t="n">
        <x:v>40</x:v>
      </x:c>
      <x:c r="P259" s="24" t="str">
        <x:v>是</x:v>
      </x:c>
      <x:c r="Q259" s="24" t="str">
        <x:v>1區</x:v>
      </x:c>
      <x:c r="R259" s="26" t="n">
        <x:v>40</x:v>
      </x:c>
      <x:c r="S259" s="24" t="str">
        <x:v>中頻、重物、液體</x:v>
      </x:c>
    </x:row>
    <x:row r="260">
      <x:c r="A260" s="24" t="str">
        <x:v>PX0256</x:v>
      </x:c>
      <x:c r="B260" s="24" t="str">
        <x:v>洗衣粉箱-標準箱</x:v>
      </x:c>
      <x:c r="C260" s="24" t="str">
        <x:v>清潔用品</x:v>
      </x:c>
      <x:c r="D260" s="24" t="str">
        <x:v>Cluster 1</x:v>
      </x:c>
      <x:c r="E260" s="26" t="n">
        <x:v>6</x:v>
      </x:c>
      <x:c r="F260" s="26" t="n">
        <x:v>2</x:v>
      </x:c>
      <x:c r="G260" s="24" t="str">
        <x:v>中</x:v>
      </x:c>
      <x:c r="H260" s="24" t="str">
        <x:v>中</x:v>
      </x:c>
      <x:c r="I260" s="24" t="str">
        <x:v>是</x:v>
      </x:c>
      <x:c r="J260" s="24" t="str">
        <x:v>否</x:v>
      </x:c>
      <x:c r="K260" s="24" t="str">
        <x:v>否</x:v>
      </x:c>
      <x:c r="L260" s="24" t="str"/>
      <x:c r="M260" s="28" t="n">
        <x:v>1</x:v>
      </x:c>
      <x:c r="N260" s="26" t="n">
        <x:v>26</x:v>
      </x:c>
      <x:c r="O260" s="26" t="n">
        <x:v>80</x:v>
      </x:c>
      <x:c r="P260" s="24" t="str">
        <x:v>是</x:v>
      </x:c>
      <x:c r="Q260" s="24" t="str">
        <x:v>3區</x:v>
      </x:c>
      <x:c r="R260" s="26" t="n">
        <x:v>34</x:v>
      </x:c>
      <x:c r="S260" s="24" t="str">
        <x:v>低頻、液體</x:v>
      </x:c>
    </x:row>
    <x:row r="261">
      <x:c r="A261" s="24" t="str">
        <x:v>PX0257</x:v>
      </x:c>
      <x:c r="B261" s="24" t="str">
        <x:v>保鮮盒-小包裝</x:v>
      </x:c>
      <x:c r="C261" s="24" t="str">
        <x:v>家用品</x:v>
      </x:c>
      <x:c r="D261" s="24" t="str">
        <x:v>Cluster 5</x:v>
      </x:c>
      <x:c r="E261" s="26" t="n">
        <x:v>43</x:v>
      </x:c>
      <x:c r="F261" s="26" t="n">
        <x:v>21</x:v>
      </x:c>
      <x:c r="G261" s="24" t="str">
        <x:v>中</x:v>
      </x:c>
      <x:c r="H261" s="24" t="str">
        <x:v>中</x:v>
      </x:c>
      <x:c r="I261" s="24" t="str">
        <x:v>否</x:v>
      </x:c>
      <x:c r="J261" s="24" t="str">
        <x:v>否</x:v>
      </x:c>
      <x:c r="K261" s="24" t="str">
        <x:v>否</x:v>
      </x:c>
      <x:c r="L261" s="24" t="str"/>
      <x:c r="M261" s="28" t="n">
        <x:v>1.1</x:v>
      </x:c>
      <x:c r="N261" s="26" t="n">
        <x:v>181</x:v>
      </x:c>
      <x:c r="O261" s="26" t="str"/>
      <x:c r="P261" s="24" t="str">
        <x:v>否</x:v>
      </x:c>
      <x:c r="Q261" s="24" t="str">
        <x:v>1區</x:v>
      </x:c>
      <x:c r="R261" s="26" t="n">
        <x:v>41</x:v>
      </x:c>
      <x:c r="S261" s="24" t="str">
        <x:v>中頻</x:v>
      </x:c>
    </x:row>
    <x:row r="262">
      <x:c r="A262" s="24" t="str">
        <x:v>PX0258</x:v>
      </x:c>
      <x:c r="B262" s="24" t="str">
        <x:v>面紙箱-小包裝</x:v>
      </x:c>
      <x:c r="C262" s="24" t="str">
        <x:v>紙品類</x:v>
      </x:c>
      <x:c r="D262" s="24" t="str">
        <x:v>Cluster 5</x:v>
      </x:c>
      <x:c r="E262" s="26" t="n">
        <x:v>83</x:v>
      </x:c>
      <x:c r="F262" s="26" t="n">
        <x:v>54</x:v>
      </x:c>
      <x:c r="G262" s="24" t="str">
        <x:v>小</x:v>
      </x:c>
      <x:c r="H262" s="24" t="str">
        <x:v>中</x:v>
      </x:c>
      <x:c r="I262" s="24" t="str">
        <x:v>否</x:v>
      </x:c>
      <x:c r="J262" s="24" t="str">
        <x:v>否</x:v>
      </x:c>
      <x:c r="K262" s="24" t="str">
        <x:v>否</x:v>
      </x:c>
      <x:c r="L262" s="24" t="str"/>
      <x:c r="M262" s="28" t="n">
        <x:v>1</x:v>
      </x:c>
      <x:c r="N262" s="26" t="n">
        <x:v>201</x:v>
      </x:c>
      <x:c r="O262" s="26" t="n">
        <x:v>60</x:v>
      </x:c>
      <x:c r="P262" s="24" t="str">
        <x:v>是</x:v>
      </x:c>
      <x:c r="Q262" s="24" t="str">
        <x:v>1區</x:v>
      </x:c>
      <x:c r="R262" s="26" t="n">
        <x:v>23</x:v>
      </x:c>
      <x:c r="S262" s="24" t="str">
        <x:v>高頻</x:v>
      </x:c>
    </x:row>
    <x:row r="263">
      <x:c r="A263" s="24" t="str">
        <x:v>PX0259</x:v>
      </x:c>
      <x:c r="B263" s="24" t="str">
        <x:v>端午禮盒-補充包</x:v>
      </x:c>
      <x:c r="C263" s="24" t="str">
        <x:v>季節商品</x:v>
      </x:c>
      <x:c r="D263" s="24" t="str">
        <x:v>Cluster 4</x:v>
      </x:c>
      <x:c r="E263" s="26" t="n">
        <x:v>49</x:v>
      </x:c>
      <x:c r="F263" s="26" t="n">
        <x:v>6</x:v>
      </x:c>
      <x:c r="G263" s="24" t="str">
        <x:v>大</x:v>
      </x:c>
      <x:c r="H263" s="24" t="str">
        <x:v>中</x:v>
      </x:c>
      <x:c r="I263" s="24" t="str">
        <x:v>否</x:v>
      </x:c>
      <x:c r="J263" s="24" t="str">
        <x:v>是</x:v>
      </x:c>
      <x:c r="K263" s="24" t="str">
        <x:v>是</x:v>
      </x:c>
      <x:c r="L263" s="24" t="str">
        <x:v>1-2月</x:v>
      </x:c>
      <x:c r="M263" s="28" t="n">
        <x:v>2</x:v>
      </x:c>
      <x:c r="N263" s="26" t="n">
        <x:v>240</x:v>
      </x:c>
      <x:c r="O263" s="26" t="n">
        <x:v>30</x:v>
      </x:c>
      <x:c r="P263" s="24" t="str">
        <x:v>是</x:v>
      </x:c>
      <x:c r="Q263" s="24" t="str">
        <x:v>1區</x:v>
      </x:c>
      <x:c r="R263" s="26" t="n">
        <x:v>39</x:v>
      </x:c>
      <x:c r="S263" s="24" t="str">
        <x:v>中頻、體積大、易碎、季節性</x:v>
      </x:c>
    </x:row>
    <x:row r="264">
      <x:c r="A264" s="24" t="str">
        <x:v>PX0260</x:v>
      </x:c>
      <x:c r="B264" s="24" t="str">
        <x:v>牙刷組-箱裝</x:v>
      </x:c>
      <x:c r="C264" s="24" t="str">
        <x:v>日用品</x:v>
      </x:c>
      <x:c r="D264" s="24" t="str">
        <x:v>Cluster 5</x:v>
      </x:c>
      <x:c r="E264" s="26" t="n">
        <x:v>35</x:v>
      </x:c>
      <x:c r="F264" s="26" t="n">
        <x:v>20</x:v>
      </x:c>
      <x:c r="G264" s="24" t="str">
        <x:v>小</x:v>
      </x:c>
      <x:c r="H264" s="24" t="str">
        <x:v>輕</x:v>
      </x:c>
      <x:c r="I264" s="24" t="str">
        <x:v>否</x:v>
      </x:c>
      <x:c r="J264" s="24" t="str">
        <x:v>否</x:v>
      </x:c>
      <x:c r="K264" s="24" t="str">
        <x:v>否</x:v>
      </x:c>
      <x:c r="L264" s="24" t="str"/>
      <x:c r="M264" s="28" t="n">
        <x:v>1</x:v>
      </x:c>
      <x:c r="N264" s="26" t="n">
        <x:v>96</x:v>
      </x:c>
      <x:c r="O264" s="26" t="str"/>
      <x:c r="P264" s="24" t="str">
        <x:v>否</x:v>
      </x:c>
      <x:c r="Q264" s="24" t="str">
        <x:v>A區</x:v>
      </x:c>
      <x:c r="R264" s="26" t="n">
        <x:v>25</x:v>
      </x:c>
      <x:c r="S264" s="24" t="str">
        <x:v>中頻</x:v>
      </x:c>
    </x:row>
    <x:row r="265">
      <x:c r="A265" s="24" t="str">
        <x:v>PX0261</x:v>
      </x:c>
      <x:c r="B265" s="24" t="str">
        <x:v>廚房紙巾-補充包</x:v>
      </x:c>
      <x:c r="C265" s="24" t="str">
        <x:v>紙品類</x:v>
      </x:c>
      <x:c r="D265" s="24" t="str">
        <x:v>Cluster 2</x:v>
      </x:c>
      <x:c r="E265" s="26" t="n">
        <x:v>27</x:v>
      </x:c>
      <x:c r="F265" s="26" t="n">
        <x:v>18</x:v>
      </x:c>
      <x:c r="G265" s="24" t="str">
        <x:v>大</x:v>
      </x:c>
      <x:c r="H265" s="24" t="str">
        <x:v>輕</x:v>
      </x:c>
      <x:c r="I265" s="24" t="str">
        <x:v>否</x:v>
      </x:c>
      <x:c r="J265" s="24" t="str">
        <x:v>否</x:v>
      </x:c>
      <x:c r="K265" s="24" t="str">
        <x:v>否</x:v>
      </x:c>
      <x:c r="L265" s="24" t="str"/>
      <x:c r="M265" s="28" t="n">
        <x:v>1</x:v>
      </x:c>
      <x:c r="N265" s="26" t="n">
        <x:v>97</x:v>
      </x:c>
      <x:c r="O265" s="26" t="n">
        <x:v>18</x:v>
      </x:c>
      <x:c r="P265" s="24" t="str">
        <x:v>是</x:v>
      </x:c>
      <x:c r="Q265" s="24" t="str">
        <x:v>A區</x:v>
      </x:c>
      <x:c r="R265" s="26" t="n">
        <x:v>18</x:v>
      </x:c>
      <x:c r="S265" s="24" t="str">
        <x:v>低頻、體積大</x:v>
      </x:c>
    </x:row>
    <x:row r="266">
      <x:c r="A266" s="24" t="str">
        <x:v>PX0262</x:v>
      </x:c>
      <x:c r="B266" s="24" t="str">
        <x:v>抽取式衛生紙-促銷組</x:v>
      </x:c>
      <x:c r="C266" s="24" t="str">
        <x:v>紙品類</x:v>
      </x:c>
      <x:c r="D266" s="24" t="str">
        <x:v>Cluster 2</x:v>
      </x:c>
      <x:c r="E266" s="26" t="n">
        <x:v>56</x:v>
      </x:c>
      <x:c r="F266" s="26" t="n">
        <x:v>26</x:v>
      </x:c>
      <x:c r="G266" s="24" t="str">
        <x:v>大</x:v>
      </x:c>
      <x:c r="H266" s="24" t="str">
        <x:v>輕</x:v>
      </x:c>
      <x:c r="I266" s="24" t="str">
        <x:v>否</x:v>
      </x:c>
      <x:c r="J266" s="24" t="str">
        <x:v>否</x:v>
      </x:c>
      <x:c r="K266" s="24" t="str">
        <x:v>否</x:v>
      </x:c>
      <x:c r="L266" s="24" t="str"/>
      <x:c r="M266" s="28" t="n">
        <x:v>1</x:v>
      </x:c>
      <x:c r="N266" s="26" t="n">
        <x:v>203</x:v>
      </x:c>
      <x:c r="O266" s="26" t="n">
        <x:v>30</x:v>
      </x:c>
      <x:c r="P266" s="24" t="str">
        <x:v>是</x:v>
      </x:c>
      <x:c r="Q266" s="24" t="str">
        <x:v>遠端區</x:v>
      </x:c>
      <x:c r="R266" s="26" t="n">
        <x:v>57</x:v>
      </x:c>
      <x:c r="S266" s="24" t="str">
        <x:v>中頻、體積大</x:v>
      </x:c>
    </x:row>
    <x:row r="267">
      <x:c r="A267" s="24" t="str">
        <x:v>PX0263</x:v>
      </x:c>
      <x:c r="B267" s="24" t="str">
        <x:v>碳酸飲料整箱-家庭號</x:v>
      </x:c>
      <x:c r="C267" s="24" t="str">
        <x:v>飲品類</x:v>
      </x:c>
      <x:c r="D267" s="24" t="str">
        <x:v>Cluster 2</x:v>
      </x:c>
      <x:c r="E267" s="26" t="n">
        <x:v>80</x:v>
      </x:c>
      <x:c r="F267" s="26" t="n">
        <x:v>51</x:v>
      </x:c>
      <x:c r="G267" s="24" t="str">
        <x:v>中</x:v>
      </x:c>
      <x:c r="H267" s="24" t="str">
        <x:v>重</x:v>
      </x:c>
      <x:c r="I267" s="24" t="str">
        <x:v>是</x:v>
      </x:c>
      <x:c r="J267" s="24" t="str">
        <x:v>否</x:v>
      </x:c>
      <x:c r="K267" s="24" t="str">
        <x:v>否</x:v>
      </x:c>
      <x:c r="L267" s="24" t="str"/>
      <x:c r="M267" s="28" t="n">
        <x:v>1.5</x:v>
      </x:c>
      <x:c r="N267" s="26" t="n">
        <x:v>219</x:v>
      </x:c>
      <x:c r="O267" s="26" t="n">
        <x:v>40</x:v>
      </x:c>
      <x:c r="P267" s="24" t="str">
        <x:v>是</x:v>
      </x:c>
      <x:c r="Q267" s="24" t="str">
        <x:v>彈性區</x:v>
      </x:c>
      <x:c r="R267" s="26" t="n">
        <x:v>52</x:v>
      </x:c>
      <x:c r="S267" s="24" t="str">
        <x:v>高頻、重物、液體</x:v>
      </x:c>
    </x:row>
    <x:row r="268">
      <x:c r="A268" s="24" t="str">
        <x:v>PX0264</x:v>
      </x:c>
      <x:c r="B268" s="24" t="str">
        <x:v>捲筒衛生紙-標準箱</x:v>
      </x:c>
      <x:c r="C268" s="24" t="str">
        <x:v>紙品類</x:v>
      </x:c>
      <x:c r="D268" s="24" t="str">
        <x:v>Cluster 2</x:v>
      </x:c>
      <x:c r="E268" s="26" t="n">
        <x:v>165</x:v>
      </x:c>
      <x:c r="F268" s="26" t="n">
        <x:v>87</x:v>
      </x:c>
      <x:c r="G268" s="24" t="str">
        <x:v>大</x:v>
      </x:c>
      <x:c r="H268" s="24" t="str">
        <x:v>輕</x:v>
      </x:c>
      <x:c r="I268" s="24" t="str">
        <x:v>否</x:v>
      </x:c>
      <x:c r="J268" s="24" t="str">
        <x:v>否</x:v>
      </x:c>
      <x:c r="K268" s="24" t="str">
        <x:v>否</x:v>
      </x:c>
      <x:c r="L268" s="24" t="str"/>
      <x:c r="M268" s="28" t="n">
        <x:v>1</x:v>
      </x:c>
      <x:c r="N268" s="26" t="n">
        <x:v>509</x:v>
      </x:c>
      <x:c r="O268" s="26" t="n">
        <x:v>24</x:v>
      </x:c>
      <x:c r="P268" s="24" t="str">
        <x:v>是</x:v>
      </x:c>
      <x:c r="Q268" s="24" t="str">
        <x:v>彈性區</x:v>
      </x:c>
      <x:c r="R268" s="26" t="n">
        <x:v>45</x:v>
      </x:c>
      <x:c r="S268" s="24" t="str">
        <x:v>高頻、體積大</x:v>
      </x:c>
    </x:row>
    <x:row r="269">
      <x:c r="A269" s="24" t="str">
        <x:v>PX0265</x:v>
      </x:c>
      <x:c r="B269" s="24" t="str">
        <x:v>咖哩塊箱-補充包</x:v>
      </x:c>
      <x:c r="C269" s="24" t="str">
        <x:v>食品類</x:v>
      </x:c>
      <x:c r="D269" s="24" t="str">
        <x:v>Cluster 5</x:v>
      </x:c>
      <x:c r="E269" s="26" t="n">
        <x:v>21</x:v>
      </x:c>
      <x:c r="F269" s="26" t="n">
        <x:v>14</x:v>
      </x:c>
      <x:c r="G269" s="24" t="str">
        <x:v>中</x:v>
      </x:c>
      <x:c r="H269" s="24" t="str">
        <x:v>中</x:v>
      </x:c>
      <x:c r="I269" s="24" t="str">
        <x:v>否</x:v>
      </x:c>
      <x:c r="J269" s="24" t="str">
        <x:v>否</x:v>
      </x:c>
      <x:c r="K269" s="24" t="str">
        <x:v>否</x:v>
      </x:c>
      <x:c r="L269" s="24" t="str"/>
      <x:c r="M269" s="28" t="n">
        <x:v>1</x:v>
      </x:c>
      <x:c r="N269" s="26" t="n">
        <x:v>43</x:v>
      </x:c>
      <x:c r="O269" s="26" t="str"/>
      <x:c r="P269" s="24" t="str">
        <x:v>否</x:v>
      </x:c>
      <x:c r="Q269" s="24" t="str">
        <x:v>3區</x:v>
      </x:c>
      <x:c r="R269" s="26" t="n">
        <x:v>30</x:v>
      </x:c>
      <x:c r="S269" s="24" t="str">
        <x:v>低頻</x:v>
      </x:c>
    </x:row>
    <x:row r="270">
      <x:c r="A270" s="24" t="str">
        <x:v>PX0266</x:v>
      </x:c>
      <x:c r="B270" s="24" t="str">
        <x:v>寵物飼料5kg-補充包</x:v>
      </x:c>
      <x:c r="C270" s="24" t="str">
        <x:v>寵物用品</x:v>
      </x:c>
      <x:c r="D270" s="24" t="str">
        <x:v>Cluster 3</x:v>
      </x:c>
      <x:c r="E270" s="26" t="n">
        <x:v>138</x:v>
      </x:c>
      <x:c r="F270" s="26" t="n">
        <x:v>77</x:v>
      </x:c>
      <x:c r="G270" s="24" t="str">
        <x:v>大</x:v>
      </x:c>
      <x:c r="H270" s="24" t="str">
        <x:v>重</x:v>
      </x:c>
      <x:c r="I270" s="24" t="str">
        <x:v>否</x:v>
      </x:c>
      <x:c r="J270" s="24" t="str">
        <x:v>否</x:v>
      </x:c>
      <x:c r="K270" s="24" t="str">
        <x:v>否</x:v>
      </x:c>
      <x:c r="L270" s="24" t="str"/>
      <x:c r="M270" s="28" t="n">
        <x:v>1.1</x:v>
      </x:c>
      <x:c r="N270" s="26" t="n">
        <x:v>550</x:v>
      </x:c>
      <x:c r="O270" s="26" t="n">
        <x:v>18</x:v>
      </x:c>
      <x:c r="P270" s="24" t="str">
        <x:v>是</x:v>
      </x:c>
      <x:c r="Q270" s="24" t="str">
        <x:v>3區</x:v>
      </x:c>
      <x:c r="R270" s="26" t="n">
        <x:v>48</x:v>
      </x:c>
      <x:c r="S270" s="24" t="str">
        <x:v>高頻、體積大、重物</x:v>
      </x:c>
    </x:row>
    <x:row r="271">
      <x:c r="A271" s="24" t="str">
        <x:v>PX0267</x:v>
      </x:c>
      <x:c r="B271" s="24" t="str">
        <x:v>洗髮精-箱裝</x:v>
      </x:c>
      <x:c r="C271" s="24" t="str">
        <x:v>日用品</x:v>
      </x:c>
      <x:c r="D271" s="24" t="str">
        <x:v>Cluster 1</x:v>
      </x:c>
      <x:c r="E271" s="26" t="n">
        <x:v>189</x:v>
      </x:c>
      <x:c r="F271" s="26" t="n">
        <x:v>45</x:v>
      </x:c>
      <x:c r="G271" s="24" t="str">
        <x:v>中</x:v>
      </x:c>
      <x:c r="H271" s="24" t="str">
        <x:v>中</x:v>
      </x:c>
      <x:c r="I271" s="24" t="str">
        <x:v>是</x:v>
      </x:c>
      <x:c r="J271" s="24" t="str">
        <x:v>否</x:v>
      </x:c>
      <x:c r="K271" s="24" t="str">
        <x:v>否</x:v>
      </x:c>
      <x:c r="L271" s="24" t="str"/>
      <x:c r="M271" s="28" t="n">
        <x:v>1.1</x:v>
      </x:c>
      <x:c r="N271" s="26" t="n">
        <x:v>898</x:v>
      </x:c>
      <x:c r="O271" s="26" t="n">
        <x:v>60</x:v>
      </x:c>
      <x:c r="P271" s="24" t="str">
        <x:v>是</x:v>
      </x:c>
      <x:c r="Q271" s="24" t="str">
        <x:v>1區</x:v>
      </x:c>
      <x:c r="R271" s="26" t="n">
        <x:v>35</x:v>
      </x:c>
      <x:c r="S271" s="24" t="str">
        <x:v>高頻、液體</x:v>
      </x:c>
    </x:row>
    <x:row r="272">
      <x:c r="A272" s="24" t="str">
        <x:v>PX0268</x:v>
      </x:c>
      <x:c r="B272" s="24" t="str">
        <x:v>面紙箱-小包裝</x:v>
      </x:c>
      <x:c r="C272" s="24" t="str">
        <x:v>紙品類</x:v>
      </x:c>
      <x:c r="D272" s="24" t="str">
        <x:v>Cluster 5</x:v>
      </x:c>
      <x:c r="E272" s="26" t="n">
        <x:v>39</x:v>
      </x:c>
      <x:c r="F272" s="26" t="n">
        <x:v>27</x:v>
      </x:c>
      <x:c r="G272" s="24" t="str">
        <x:v>小</x:v>
      </x:c>
      <x:c r="H272" s="24" t="str">
        <x:v>輕</x:v>
      </x:c>
      <x:c r="I272" s="24" t="str">
        <x:v>否</x:v>
      </x:c>
      <x:c r="J272" s="24" t="str">
        <x:v>否</x:v>
      </x:c>
      <x:c r="K272" s="24" t="str">
        <x:v>否</x:v>
      </x:c>
      <x:c r="L272" s="24" t="str"/>
      <x:c r="M272" s="28" t="n">
        <x:v>1</x:v>
      </x:c>
      <x:c r="N272" s="26" t="n">
        <x:v>142</x:v>
      </x:c>
      <x:c r="O272" s="26" t="str"/>
      <x:c r="P272" s="24" t="str">
        <x:v>否</x:v>
      </x:c>
      <x:c r="Q272" s="24" t="str">
        <x:v>遠端區</x:v>
      </x:c>
      <x:c r="R272" s="26" t="n">
        <x:v>56</x:v>
      </x:c>
      <x:c r="S272" s="24" t="str">
        <x:v>中頻</x:v>
      </x:c>
    </x:row>
    <x:row r="273">
      <x:c r="A273" s="24" t="str">
        <x:v>PX0269</x:v>
      </x:c>
      <x:c r="B273" s="24" t="str">
        <x:v>柔軟精-箱裝</x:v>
      </x:c>
      <x:c r="C273" s="24" t="str">
        <x:v>清潔用品</x:v>
      </x:c>
      <x:c r="D273" s="24" t="str">
        <x:v>Cluster 1</x:v>
      </x:c>
      <x:c r="E273" s="26" t="n">
        <x:v>41</x:v>
      </x:c>
      <x:c r="F273" s="26" t="n">
        <x:v>27</x:v>
      </x:c>
      <x:c r="G273" s="24" t="str">
        <x:v>小</x:v>
      </x:c>
      <x:c r="H273" s="24" t="str">
        <x:v>中</x:v>
      </x:c>
      <x:c r="I273" s="24" t="str">
        <x:v>是</x:v>
      </x:c>
      <x:c r="J273" s="24" t="str">
        <x:v>否</x:v>
      </x:c>
      <x:c r="K273" s="24" t="str">
        <x:v>否</x:v>
      </x:c>
      <x:c r="L273" s="24" t="str"/>
      <x:c r="M273" s="28" t="n">
        <x:v>1.1</x:v>
      </x:c>
      <x:c r="N273" s="26" t="n">
        <x:v>199</x:v>
      </x:c>
      <x:c r="O273" s="26" t="n">
        <x:v>72</x:v>
      </x:c>
      <x:c r="P273" s="24" t="str">
        <x:v>是</x:v>
      </x:c>
      <x:c r="Q273" s="24" t="str">
        <x:v>3區</x:v>
      </x:c>
      <x:c r="R273" s="26" t="n">
        <x:v>47</x:v>
      </x:c>
      <x:c r="S273" s="24" t="str">
        <x:v>中頻、液體</x:v>
      </x:c>
    </x:row>
    <x:row r="274">
      <x:c r="A274" s="24" t="str">
        <x:v>PX0270</x:v>
      </x:c>
      <x:c r="B274" s="24" t="str">
        <x:v>漂白水-箱裝</x:v>
      </x:c>
      <x:c r="C274" s="24" t="str">
        <x:v>清潔用品</x:v>
      </x:c>
      <x:c r="D274" s="24" t="str">
        <x:v>Cluster 2</x:v>
      </x:c>
      <x:c r="E274" s="26" t="n">
        <x:v>52</x:v>
      </x:c>
      <x:c r="F274" s="26" t="n">
        <x:v>32</x:v>
      </x:c>
      <x:c r="G274" s="24" t="str">
        <x:v>中</x:v>
      </x:c>
      <x:c r="H274" s="24" t="str">
        <x:v>重</x:v>
      </x:c>
      <x:c r="I274" s="24" t="str">
        <x:v>是</x:v>
      </x:c>
      <x:c r="J274" s="24" t="str">
        <x:v>否</x:v>
      </x:c>
      <x:c r="K274" s="24" t="str">
        <x:v>否</x:v>
      </x:c>
      <x:c r="L274" s="24" t="str"/>
      <x:c r="M274" s="28" t="n">
        <x:v>1.5</x:v>
      </x:c>
      <x:c r="N274" s="26" t="n">
        <x:v>123</x:v>
      </x:c>
      <x:c r="O274" s="26" t="n">
        <x:v>36</x:v>
      </x:c>
      <x:c r="P274" s="24" t="str">
        <x:v>是</x:v>
      </x:c>
      <x:c r="Q274" s="24" t="str">
        <x:v>K區</x:v>
      </x:c>
      <x:c r="R274" s="26" t="n">
        <x:v>45</x:v>
      </x:c>
      <x:c r="S274" s="24" t="str">
        <x:v>中頻、重物、液體</x:v>
      </x:c>
    </x:row>
    <x:row r="275">
      <x:c r="A275" s="24" t="str">
        <x:v>PX0271</x:v>
      </x:c>
      <x:c r="B275" s="24" t="str">
        <x:v>保鮮盒-家庭號</x:v>
      </x:c>
      <x:c r="C275" s="24" t="str">
        <x:v>家用品</x:v>
      </x:c>
      <x:c r="D275" s="24" t="str">
        <x:v>Cluster 5</x:v>
      </x:c>
      <x:c r="E275" s="26" t="n">
        <x:v>6</x:v>
      </x:c>
      <x:c r="F275" s="26" t="n">
        <x:v>4</x:v>
      </x:c>
      <x:c r="G275" s="24" t="str">
        <x:v>中</x:v>
      </x:c>
      <x:c r="H275" s="24" t="str">
        <x:v>中</x:v>
      </x:c>
      <x:c r="I275" s="24" t="str">
        <x:v>否</x:v>
      </x:c>
      <x:c r="J275" s="24" t="str">
        <x:v>否</x:v>
      </x:c>
      <x:c r="K275" s="24" t="str">
        <x:v>否</x:v>
      </x:c>
      <x:c r="L275" s="24" t="str"/>
      <x:c r="M275" s="28" t="n">
        <x:v>1</x:v>
      </x:c>
      <x:c r="N275" s="26" t="n">
        <x:v>18</x:v>
      </x:c>
      <x:c r="O275" s="26" t="str"/>
      <x:c r="P275" s="24" t="str">
        <x:v>否</x:v>
      </x:c>
      <x:c r="Q275" s="24" t="str">
        <x:v>A區</x:v>
      </x:c>
      <x:c r="R275" s="26" t="n">
        <x:v>30</x:v>
      </x:c>
      <x:c r="S275" s="24" t="str">
        <x:v>低頻</x:v>
      </x:c>
    </x:row>
    <x:row r="276">
      <x:c r="A276" s="24" t="str">
        <x:v>PX0272</x:v>
      </x:c>
      <x:c r="B276" s="24" t="str">
        <x:v>洗衣粉箱-促銷組</x:v>
      </x:c>
      <x:c r="C276" s="24" t="str">
        <x:v>清潔用品</x:v>
      </x:c>
      <x:c r="D276" s="24" t="str">
        <x:v>Cluster 1</x:v>
      </x:c>
      <x:c r="E276" s="26" t="n">
        <x:v>40</x:v>
      </x:c>
      <x:c r="F276" s="26" t="n">
        <x:v>19</x:v>
      </x:c>
      <x:c r="G276" s="24" t="str">
        <x:v>中</x:v>
      </x:c>
      <x:c r="H276" s="24" t="str">
        <x:v>中</x:v>
      </x:c>
      <x:c r="I276" s="24" t="str">
        <x:v>是</x:v>
      </x:c>
      <x:c r="J276" s="24" t="str">
        <x:v>否</x:v>
      </x:c>
      <x:c r="K276" s="24" t="str">
        <x:v>否</x:v>
      </x:c>
      <x:c r="L276" s="24" t="str"/>
      <x:c r="M276" s="28" t="n">
        <x:v>1</x:v>
      </x:c>
      <x:c r="N276" s="26" t="n">
        <x:v>116</x:v>
      </x:c>
      <x:c r="O276" s="26" t="n">
        <x:v>60</x:v>
      </x:c>
      <x:c r="P276" s="24" t="str">
        <x:v>是</x:v>
      </x:c>
      <x:c r="Q276" s="24" t="str">
        <x:v>1區</x:v>
      </x:c>
      <x:c r="R276" s="26" t="n">
        <x:v>33</x:v>
      </x:c>
      <x:c r="S276" s="24" t="str">
        <x:v>中頻、液體</x:v>
      </x:c>
    </x:row>
    <x:row r="277">
      <x:c r="A277" s="24" t="str">
        <x:v>PX0273</x:v>
      </x:c>
      <x:c r="B277" s="24" t="str">
        <x:v>碳酸飲料整箱-家庭號</x:v>
      </x:c>
      <x:c r="C277" s="24" t="str">
        <x:v>飲品類</x:v>
      </x:c>
      <x:c r="D277" s="24" t="str">
        <x:v>Cluster 1</x:v>
      </x:c>
      <x:c r="E277" s="26" t="n">
        <x:v>12</x:v>
      </x:c>
      <x:c r="F277" s="26" t="n">
        <x:v>6</x:v>
      </x:c>
      <x:c r="G277" s="24" t="str">
        <x:v>中</x:v>
      </x:c>
      <x:c r="H277" s="24" t="str">
        <x:v>重</x:v>
      </x:c>
      <x:c r="I277" s="24" t="str">
        <x:v>是</x:v>
      </x:c>
      <x:c r="J277" s="24" t="str">
        <x:v>否</x:v>
      </x:c>
      <x:c r="K277" s="24" t="str">
        <x:v>否</x:v>
      </x:c>
      <x:c r="L277" s="24" t="str"/>
      <x:c r="M277" s="28" t="n">
        <x:v>1.3</x:v>
      </x:c>
      <x:c r="N277" s="26" t="n">
        <x:v>31</x:v>
      </x:c>
      <x:c r="O277" s="26" t="n">
        <x:v>36</x:v>
      </x:c>
      <x:c r="P277" s="24" t="str">
        <x:v>是</x:v>
      </x:c>
      <x:c r="Q277" s="24" t="str">
        <x:v>1區</x:v>
      </x:c>
      <x:c r="R277" s="26" t="n">
        <x:v>29</x:v>
      </x:c>
      <x:c r="S277" s="24" t="str">
        <x:v>低頻、重物、液體</x:v>
      </x:c>
    </x:row>
    <x:row r="278">
      <x:c r="A278" s="24" t="str">
        <x:v>PX0274</x:v>
      </x:c>
      <x:c r="B278" s="24" t="str">
        <x:v>雨衣組-補充包</x:v>
      </x:c>
      <x:c r="C278" s="24" t="str">
        <x:v>季節商品</x:v>
      </x:c>
      <x:c r="D278" s="24" t="str">
        <x:v>Cluster 4</x:v>
      </x:c>
      <x:c r="E278" s="26" t="n">
        <x:v>14</x:v>
      </x:c>
      <x:c r="F278" s="26" t="n">
        <x:v>8</x:v>
      </x:c>
      <x:c r="G278" s="24" t="str">
        <x:v>大</x:v>
      </x:c>
      <x:c r="H278" s="24" t="str">
        <x:v>輕</x:v>
      </x:c>
      <x:c r="I278" s="24" t="str">
        <x:v>否</x:v>
      </x:c>
      <x:c r="J278" s="24" t="str">
        <x:v>否</x:v>
      </x:c>
      <x:c r="K278" s="24" t="str">
        <x:v>是</x:v>
      </x:c>
      <x:c r="L278" s="24" t="str">
        <x:v>5-8月</x:v>
      </x:c>
      <x:c r="M278" s="28" t="n">
        <x:v>3</x:v>
      </x:c>
      <x:c r="N278" s="26" t="n">
        <x:v>54</x:v>
      </x:c>
      <x:c r="O278" s="26" t="n">
        <x:v>30</x:v>
      </x:c>
      <x:c r="P278" s="24" t="str">
        <x:v>是</x:v>
      </x:c>
      <x:c r="Q278" s="24" t="str">
        <x:v>A區</x:v>
      </x:c>
      <x:c r="R278" s="26" t="n">
        <x:v>23</x:v>
      </x:c>
      <x:c r="S278" s="24" t="str">
        <x:v>低頻、體積大、季節性</x:v>
      </x:c>
    </x:row>
    <x:row r="279">
      <x:c r="A279" s="24" t="str">
        <x:v>PX0275</x:v>
      </x:c>
      <x:c r="B279" s="24" t="str">
        <x:v>寵物尿布墊-家庭號</x:v>
      </x:c>
      <x:c r="C279" s="24" t="str">
        <x:v>寵物用品</x:v>
      </x:c>
      <x:c r="D279" s="24" t="str">
        <x:v>Cluster 2</x:v>
      </x:c>
      <x:c r="E279" s="26" t="n">
        <x:v>183</x:v>
      </x:c>
      <x:c r="F279" s="26" t="n">
        <x:v>88</x:v>
      </x:c>
      <x:c r="G279" s="24" t="str">
        <x:v>大</x:v>
      </x:c>
      <x:c r="H279" s="24" t="str">
        <x:v>中</x:v>
      </x:c>
      <x:c r="I279" s="24" t="str">
        <x:v>否</x:v>
      </x:c>
      <x:c r="J279" s="24" t="str">
        <x:v>否</x:v>
      </x:c>
      <x:c r="K279" s="24" t="str">
        <x:v>否</x:v>
      </x:c>
      <x:c r="L279" s="24" t="str"/>
      <x:c r="M279" s="28" t="n">
        <x:v>1</x:v>
      </x:c>
      <x:c r="N279" s="26" t="n">
        <x:v>516</x:v>
      </x:c>
      <x:c r="O279" s="26" t="n">
        <x:v>18</x:v>
      </x:c>
      <x:c r="P279" s="24" t="str">
        <x:v>是</x:v>
      </x:c>
      <x:c r="Q279" s="24" t="str">
        <x:v>3區</x:v>
      </x:c>
      <x:c r="R279" s="26" t="n">
        <x:v>36</x:v>
      </x:c>
      <x:c r="S279" s="24" t="str">
        <x:v>高頻、體積大</x:v>
      </x:c>
    </x:row>
    <x:row r="280">
      <x:c r="A280" s="24" t="str">
        <x:v>PX0276</x:v>
      </x:c>
      <x:c r="B280" s="24" t="str">
        <x:v>漂白水-促銷組</x:v>
      </x:c>
      <x:c r="C280" s="24" t="str">
        <x:v>清潔用品</x:v>
      </x:c>
      <x:c r="D280" s="24" t="str">
        <x:v>Cluster 1</x:v>
      </x:c>
      <x:c r="E280" s="26" t="n">
        <x:v>27</x:v>
      </x:c>
      <x:c r="F280" s="26" t="n">
        <x:v>12</x:v>
      </x:c>
      <x:c r="G280" s="24" t="str">
        <x:v>中</x:v>
      </x:c>
      <x:c r="H280" s="24" t="str">
        <x:v>重</x:v>
      </x:c>
      <x:c r="I280" s="24" t="str">
        <x:v>是</x:v>
      </x:c>
      <x:c r="J280" s="24" t="str">
        <x:v>否</x:v>
      </x:c>
      <x:c r="K280" s="24" t="str">
        <x:v>否</x:v>
      </x:c>
      <x:c r="L280" s="24" t="str"/>
      <x:c r="M280" s="28" t="n">
        <x:v>1.3</x:v>
      </x:c>
      <x:c r="N280" s="26" t="n">
        <x:v>92</x:v>
      </x:c>
      <x:c r="O280" s="26" t="n">
        <x:v>48</x:v>
      </x:c>
      <x:c r="P280" s="24" t="str">
        <x:v>是</x:v>
      </x:c>
      <x:c r="Q280" s="24" t="str">
        <x:v>K區</x:v>
      </x:c>
      <x:c r="R280" s="26" t="n">
        <x:v>45</x:v>
      </x:c>
      <x:c r="S280" s="24" t="str">
        <x:v>低頻、重物、液體</x:v>
      </x:c>
    </x:row>
    <x:row r="281">
      <x:c r="A281" s="24" t="str">
        <x:v>PX0277</x:v>
      </x:c>
      <x:c r="B281" s="24" t="str">
        <x:v>果汁飲料整箱-家庭號</x:v>
      </x:c>
      <x:c r="C281" s="24" t="str">
        <x:v>飲品類</x:v>
      </x:c>
      <x:c r="D281" s="24" t="str">
        <x:v>Cluster 1</x:v>
      </x:c>
      <x:c r="E281" s="26" t="n">
        <x:v>33</x:v>
      </x:c>
      <x:c r="F281" s="26" t="n">
        <x:v>16</x:v>
      </x:c>
      <x:c r="G281" s="24" t="str">
        <x:v>中</x:v>
      </x:c>
      <x:c r="H281" s="24" t="str">
        <x:v>重</x:v>
      </x:c>
      <x:c r="I281" s="24" t="str">
        <x:v>是</x:v>
      </x:c>
      <x:c r="J281" s="24" t="str">
        <x:v>否</x:v>
      </x:c>
      <x:c r="K281" s="24" t="str">
        <x:v>否</x:v>
      </x:c>
      <x:c r="L281" s="24" t="str"/>
      <x:c r="M281" s="28" t="n">
        <x:v>1.3</x:v>
      </x:c>
      <x:c r="N281" s="26" t="n">
        <x:v>137</x:v>
      </x:c>
      <x:c r="O281" s="26" t="n">
        <x:v>32</x:v>
      </x:c>
      <x:c r="P281" s="24" t="str">
        <x:v>是</x:v>
      </x:c>
      <x:c r="Q281" s="24" t="str">
        <x:v>K區</x:v>
      </x:c>
      <x:c r="R281" s="26" t="n">
        <x:v>58</x:v>
      </x:c>
      <x:c r="S281" s="24" t="str">
        <x:v>低頻、重物、液體</x:v>
      </x:c>
    </x:row>
    <x:row r="282">
      <x:c r="A282" s="24" t="str">
        <x:v>PX0278</x:v>
      </x:c>
      <x:c r="B282" s="24" t="str">
        <x:v>洗髮精-標準箱</x:v>
      </x:c>
      <x:c r="C282" s="24" t="str">
        <x:v>日用品</x:v>
      </x:c>
      <x:c r="D282" s="24" t="str">
        <x:v>Cluster 1</x:v>
      </x:c>
      <x:c r="E282" s="26" t="n">
        <x:v>16</x:v>
      </x:c>
      <x:c r="F282" s="26" t="n">
        <x:v>11</x:v>
      </x:c>
      <x:c r="G282" s="24" t="str">
        <x:v>中</x:v>
      </x:c>
      <x:c r="H282" s="24" t="str">
        <x:v>中</x:v>
      </x:c>
      <x:c r="I282" s="24" t="str">
        <x:v>是</x:v>
      </x:c>
      <x:c r="J282" s="24" t="str">
        <x:v>否</x:v>
      </x:c>
      <x:c r="K282" s="24" t="str">
        <x:v>否</x:v>
      </x:c>
      <x:c r="L282" s="24" t="str"/>
      <x:c r="M282" s="28" t="n">
        <x:v>1</x:v>
      </x:c>
      <x:c r="N282" s="26" t="n">
        <x:v>65</x:v>
      </x:c>
      <x:c r="O282" s="26" t="n">
        <x:v>48</x:v>
      </x:c>
      <x:c r="P282" s="24" t="str">
        <x:v>是</x:v>
      </x:c>
      <x:c r="Q282" s="24" t="str">
        <x:v>3區</x:v>
      </x:c>
      <x:c r="R282" s="26" t="n">
        <x:v>44</x:v>
      </x:c>
      <x:c r="S282" s="24" t="str">
        <x:v>低頻、液體</x:v>
      </x:c>
    </x:row>
    <x:row r="283">
      <x:c r="A283" s="24" t="str">
        <x:v>PX0279</x:v>
      </x:c>
      <x:c r="B283" s="24" t="str">
        <x:v>衣架組-小包裝</x:v>
      </x:c>
      <x:c r="C283" s="24" t="str">
        <x:v>家用品</x:v>
      </x:c>
      <x:c r="D283" s="24" t="str">
        <x:v>Cluster 1</x:v>
      </x:c>
      <x:c r="E283" s="26" t="n">
        <x:v>32</x:v>
      </x:c>
      <x:c r="F283" s="26" t="n">
        <x:v>23</x:v>
      </x:c>
      <x:c r="G283" s="24" t="str">
        <x:v>中</x:v>
      </x:c>
      <x:c r="H283" s="24" t="str">
        <x:v>中</x:v>
      </x:c>
      <x:c r="I283" s="24" t="str">
        <x:v>否</x:v>
      </x:c>
      <x:c r="J283" s="24" t="str">
        <x:v>是</x:v>
      </x:c>
      <x:c r="K283" s="24" t="str">
        <x:v>否</x:v>
      </x:c>
      <x:c r="L283" s="24" t="str"/>
      <x:c r="M283" s="28" t="n">
        <x:v>1</x:v>
      </x:c>
      <x:c r="N283" s="26" t="n">
        <x:v>104</x:v>
      </x:c>
      <x:c r="O283" s="26" t="str"/>
      <x:c r="P283" s="24" t="str">
        <x:v>否</x:v>
      </x:c>
      <x:c r="Q283" s="24" t="str">
        <x:v>3區</x:v>
      </x:c>
      <x:c r="R283" s="26" t="n">
        <x:v>34</x:v>
      </x:c>
      <x:c r="S283" s="24" t="str">
        <x:v>低頻、易碎</x:v>
      </x:c>
    </x:row>
    <x:row r="284">
      <x:c r="A284" s="24" t="str">
        <x:v>PX0280</x:v>
      </x:c>
      <x:c r="B284" s="24" t="str">
        <x:v>浴廁清潔劑-補充包</x:v>
      </x:c>
      <x:c r="C284" s="24" t="str">
        <x:v>清潔用品</x:v>
      </x:c>
      <x:c r="D284" s="24" t="str">
        <x:v>Cluster 1</x:v>
      </x:c>
      <x:c r="E284" s="26" t="n">
        <x:v>16</x:v>
      </x:c>
      <x:c r="F284" s="26" t="n">
        <x:v>8</x:v>
      </x:c>
      <x:c r="G284" s="24" t="str">
        <x:v>中</x:v>
      </x:c>
      <x:c r="H284" s="24" t="str">
        <x:v>中</x:v>
      </x:c>
      <x:c r="I284" s="24" t="str">
        <x:v>是</x:v>
      </x:c>
      <x:c r="J284" s="24" t="str">
        <x:v>否</x:v>
      </x:c>
      <x:c r="K284" s="24" t="str">
        <x:v>否</x:v>
      </x:c>
      <x:c r="L284" s="24" t="str"/>
      <x:c r="M284" s="28" t="n">
        <x:v>1</x:v>
      </x:c>
      <x:c r="N284" s="26" t="n">
        <x:v>65</x:v>
      </x:c>
      <x:c r="O284" s="26" t="n">
        <x:v>48</x:v>
      </x:c>
      <x:c r="P284" s="24" t="str">
        <x:v>是</x:v>
      </x:c>
      <x:c r="Q284" s="24" t="str">
        <x:v>1區</x:v>
      </x:c>
      <x:c r="R284" s="26" t="n">
        <x:v>26</x:v>
      </x:c>
      <x:c r="S284" s="24" t="str">
        <x:v>低頻、液體</x:v>
      </x:c>
    </x:row>
    <x:row r="285">
      <x:c r="A285" s="24" t="str">
        <x:v>PX0281</x:v>
      </x:c>
      <x:c r="B285" s="24" t="str">
        <x:v>寵物飼料5kg-促銷組</x:v>
      </x:c>
      <x:c r="C285" s="24" t="str">
        <x:v>寵物用品</x:v>
      </x:c>
      <x:c r="D285" s="24" t="str">
        <x:v>Cluster 2</x:v>
      </x:c>
      <x:c r="E285" s="26" t="n">
        <x:v>67</x:v>
      </x:c>
      <x:c r="F285" s="26" t="n">
        <x:v>37</x:v>
      </x:c>
      <x:c r="G285" s="24" t="str">
        <x:v>大</x:v>
      </x:c>
      <x:c r="H285" s="24" t="str">
        <x:v>重</x:v>
      </x:c>
      <x:c r="I285" s="24" t="str">
        <x:v>否</x:v>
      </x:c>
      <x:c r="J285" s="24" t="str">
        <x:v>否</x:v>
      </x:c>
      <x:c r="K285" s="24" t="str">
        <x:v>否</x:v>
      </x:c>
      <x:c r="L285" s="24" t="str"/>
      <x:c r="M285" s="28" t="n">
        <x:v>1.1</x:v>
      </x:c>
      <x:c r="N285" s="26" t="n">
        <x:v>262</x:v>
      </x:c>
      <x:c r="O285" s="26" t="n">
        <x:v>30</x:v>
      </x:c>
      <x:c r="P285" s="24" t="str">
        <x:v>是</x:v>
      </x:c>
      <x:c r="Q285" s="24" t="str">
        <x:v>遠端區</x:v>
      </x:c>
      <x:c r="R285" s="26" t="n">
        <x:v>60</x:v>
      </x:c>
      <x:c r="S285" s="24" t="str">
        <x:v>中頻、體積大、重物</x:v>
      </x:c>
    </x:row>
    <x:row r="286">
      <x:c r="A286" s="24" t="str">
        <x:v>PX0282</x:v>
      </x:c>
      <x:c r="B286" s="24" t="str">
        <x:v>暖暖包-標準箱</x:v>
      </x:c>
      <x:c r="C286" s="24" t="str">
        <x:v>季節商品</x:v>
      </x:c>
      <x:c r="D286" s="24" t="str">
        <x:v>Cluster 4</x:v>
      </x:c>
      <x:c r="E286" s="26" t="n">
        <x:v>140</x:v>
      </x:c>
      <x:c r="F286" s="26" t="n">
        <x:v>78</x:v>
      </x:c>
      <x:c r="G286" s="24" t="str">
        <x:v>中</x:v>
      </x:c>
      <x:c r="H286" s="24" t="str">
        <x:v>中</x:v>
      </x:c>
      <x:c r="I286" s="24" t="str">
        <x:v>否</x:v>
      </x:c>
      <x:c r="J286" s="24" t="str">
        <x:v>否</x:v>
      </x:c>
      <x:c r="K286" s="24" t="str">
        <x:v>是</x:v>
      </x:c>
      <x:c r="L286" s="24" t="str">
        <x:v>11-2月</x:v>
      </x:c>
      <x:c r="M286" s="28" t="n">
        <x:v>2</x:v>
      </x:c>
      <x:c r="N286" s="26" t="n">
        <x:v>281</x:v>
      </x:c>
      <x:c r="O286" s="26" t="n">
        <x:v>60</x:v>
      </x:c>
      <x:c r="P286" s="24" t="str">
        <x:v>是</x:v>
      </x:c>
      <x:c r="Q286" s="24" t="str">
        <x:v>3區</x:v>
      </x:c>
      <x:c r="R286" s="26" t="n">
        <x:v>35</x:v>
      </x:c>
      <x:c r="S286" s="24" t="str">
        <x:v>高頻、季節性</x:v>
      </x:c>
    </x:row>
    <x:row r="287">
      <x:c r="A287" s="24" t="str">
        <x:v>PX0283</x:v>
      </x:c>
      <x:c r="B287" s="24" t="str">
        <x:v>口罩盒-小包裝</x:v>
      </x:c>
      <x:c r="C287" s="24" t="str">
        <x:v>日用品</x:v>
      </x:c>
      <x:c r="D287" s="24" t="str">
        <x:v>Cluster 4</x:v>
      </x:c>
      <x:c r="E287" s="26" t="n">
        <x:v>30</x:v>
      </x:c>
      <x:c r="F287" s="26" t="n">
        <x:v>9</x:v>
      </x:c>
      <x:c r="G287" s="24" t="str">
        <x:v>小</x:v>
      </x:c>
      <x:c r="H287" s="24" t="str">
        <x:v>中</x:v>
      </x:c>
      <x:c r="I287" s="24" t="str">
        <x:v>否</x:v>
      </x:c>
      <x:c r="J287" s="24" t="str">
        <x:v>否</x:v>
      </x:c>
      <x:c r="K287" s="24" t="str">
        <x:v>是</x:v>
      </x:c>
      <x:c r="L287" s="24" t="str">
        <x:v>旺季</x:v>
      </x:c>
      <x:c r="M287" s="28" t="n">
        <x:v>2.5</x:v>
      </x:c>
      <x:c r="N287" s="26" t="n">
        <x:v>88</x:v>
      </x:c>
      <x:c r="O287" s="26" t="str"/>
      <x:c r="P287" s="24" t="str">
        <x:v>否</x:v>
      </x:c>
      <x:c r="Q287" s="24" t="str">
        <x:v>1區</x:v>
      </x:c>
      <x:c r="R287" s="26" t="n">
        <x:v>38</x:v>
      </x:c>
      <x:c r="S287" s="24" t="str">
        <x:v>低頻、季節性</x:v>
      </x:c>
    </x:row>
    <x:row r="288">
      <x:c r="A288" s="24" t="str">
        <x:v>PX0284</x:v>
      </x:c>
      <x:c r="B288" s="24" t="str">
        <x:v>擦手紙箱-小包裝</x:v>
      </x:c>
      <x:c r="C288" s="24" t="str">
        <x:v>紙品類</x:v>
      </x:c>
      <x:c r="D288" s="24" t="str">
        <x:v>Cluster 5</x:v>
      </x:c>
      <x:c r="E288" s="26" t="n">
        <x:v>68</x:v>
      </x:c>
      <x:c r="F288" s="26" t="n">
        <x:v>41</x:v>
      </x:c>
      <x:c r="G288" s="24" t="str">
        <x:v>小</x:v>
      </x:c>
      <x:c r="H288" s="24" t="str">
        <x:v>中</x:v>
      </x:c>
      <x:c r="I288" s="24" t="str">
        <x:v>否</x:v>
      </x:c>
      <x:c r="J288" s="24" t="str">
        <x:v>否</x:v>
      </x:c>
      <x:c r="K288" s="24" t="str">
        <x:v>否</x:v>
      </x:c>
      <x:c r="L288" s="24" t="str"/>
      <x:c r="M288" s="28" t="n">
        <x:v>1</x:v>
      </x:c>
      <x:c r="N288" s="26" t="n">
        <x:v>168</x:v>
      </x:c>
      <x:c r="O288" s="26" t="n">
        <x:v>60</x:v>
      </x:c>
      <x:c r="P288" s="24" t="str">
        <x:v>是</x:v>
      </x:c>
      <x:c r="Q288" s="24" t="str">
        <x:v>1區</x:v>
      </x:c>
      <x:c r="R288" s="26" t="n">
        <x:v>21</x:v>
      </x:c>
      <x:c r="S288" s="24" t="str">
        <x:v>中頻</x:v>
      </x:c>
    </x:row>
    <x:row r="289">
      <x:c r="A289" s="24" t="str">
        <x:v>PX0285</x:v>
      </x:c>
      <x:c r="B289" s="24" t="str">
        <x:v>洗衣精補充包-箱裝</x:v>
      </x:c>
      <x:c r="C289" s="24" t="str">
        <x:v>清潔用品</x:v>
      </x:c>
      <x:c r="D289" s="24" t="str">
        <x:v>Cluster 1</x:v>
      </x:c>
      <x:c r="E289" s="26" t="n">
        <x:v>21</x:v>
      </x:c>
      <x:c r="F289" s="26" t="n">
        <x:v>11</x:v>
      </x:c>
      <x:c r="G289" s="24" t="str">
        <x:v>中</x:v>
      </x:c>
      <x:c r="H289" s="24" t="str">
        <x:v>中</x:v>
      </x:c>
      <x:c r="I289" s="24" t="str">
        <x:v>是</x:v>
      </x:c>
      <x:c r="J289" s="24" t="str">
        <x:v>否</x:v>
      </x:c>
      <x:c r="K289" s="24" t="str">
        <x:v>否</x:v>
      </x:c>
      <x:c r="L289" s="24" t="str"/>
      <x:c r="M289" s="28" t="n">
        <x:v>1.1</x:v>
      </x:c>
      <x:c r="N289" s="26" t="n">
        <x:v>85</x:v>
      </x:c>
      <x:c r="O289" s="26" t="n">
        <x:v>72</x:v>
      </x:c>
      <x:c r="P289" s="24" t="str">
        <x:v>是</x:v>
      </x:c>
      <x:c r="Q289" s="24" t="str">
        <x:v>1區</x:v>
      </x:c>
      <x:c r="R289" s="26" t="n">
        <x:v>21</x:v>
      </x:c>
      <x:c r="S289" s="24" t="str">
        <x:v>低頻、液體</x:v>
      </x:c>
    </x:row>
    <x:row r="290">
      <x:c r="A290" s="24" t="str">
        <x:v>PX0286</x:v>
      </x:c>
      <x:c r="B290" s="24" t="str">
        <x:v>果汁飲料整箱-箱裝</x:v>
      </x:c>
      <x:c r="C290" s="24" t="str">
        <x:v>飲品類</x:v>
      </x:c>
      <x:c r="D290" s="24" t="str">
        <x:v>Cluster 2</x:v>
      </x:c>
      <x:c r="E290" s="26" t="n">
        <x:v>89</x:v>
      </x:c>
      <x:c r="F290" s="26" t="n">
        <x:v>50</x:v>
      </x:c>
      <x:c r="G290" s="24" t="str">
        <x:v>中</x:v>
      </x:c>
      <x:c r="H290" s="24" t="str">
        <x:v>重</x:v>
      </x:c>
      <x:c r="I290" s="24" t="str">
        <x:v>是</x:v>
      </x:c>
      <x:c r="J290" s="24" t="str">
        <x:v>否</x:v>
      </x:c>
      <x:c r="K290" s="24" t="str">
        <x:v>否</x:v>
      </x:c>
      <x:c r="L290" s="24" t="str"/>
      <x:c r="M290" s="28" t="n">
        <x:v>1.3</x:v>
      </x:c>
      <x:c r="N290" s="26" t="n">
        <x:v>305</x:v>
      </x:c>
      <x:c r="O290" s="26" t="n">
        <x:v>36</x:v>
      </x:c>
      <x:c r="P290" s="24" t="str">
        <x:v>是</x:v>
      </x:c>
      <x:c r="Q290" s="24" t="str">
        <x:v>A區</x:v>
      </x:c>
      <x:c r="R290" s="26" t="n">
        <x:v>28</x:v>
      </x:c>
      <x:c r="S290" s="24" t="str">
        <x:v>高頻、重物、液體</x:v>
      </x:c>
    </x:row>
    <x:row r="291">
      <x:c r="A291" s="24" t="str">
        <x:v>PX0287</x:v>
      </x:c>
      <x:c r="B291" s="24" t="str">
        <x:v>束帶組-補充包</x:v>
      </x:c>
      <x:c r="C291" s="24" t="str">
        <x:v>耗材類</x:v>
      </x:c>
      <x:c r="D291" s="24" t="str">
        <x:v>Cluster 5</x:v>
      </x:c>
      <x:c r="E291" s="26" t="n">
        <x:v>50</x:v>
      </x:c>
      <x:c r="F291" s="26" t="n">
        <x:v>25</x:v>
      </x:c>
      <x:c r="G291" s="24" t="str">
        <x:v>中</x:v>
      </x:c>
      <x:c r="H291" s="24" t="str">
        <x:v>中</x:v>
      </x:c>
      <x:c r="I291" s="24" t="str">
        <x:v>否</x:v>
      </x:c>
      <x:c r="J291" s="24" t="str">
        <x:v>否</x:v>
      </x:c>
      <x:c r="K291" s="24" t="str">
        <x:v>否</x:v>
      </x:c>
      <x:c r="L291" s="24" t="str"/>
      <x:c r="M291" s="28" t="n">
        <x:v>1</x:v>
      </x:c>
      <x:c r="N291" s="26" t="n">
        <x:v>126</x:v>
      </x:c>
      <x:c r="O291" s="26" t="str"/>
      <x:c r="P291" s="24" t="str">
        <x:v>否</x:v>
      </x:c>
      <x:c r="Q291" s="24" t="str">
        <x:v>遠端區</x:v>
      </x:c>
      <x:c r="R291" s="26" t="n">
        <x:v>64</x:v>
      </x:c>
      <x:c r="S291" s="24" t="str">
        <x:v>中頻</x:v>
      </x:c>
    </x:row>
    <x:row r="292">
      <x:c r="A292" s="24" t="str">
        <x:v>PX0288</x:v>
      </x:c>
      <x:c r="B292" s="24" t="str">
        <x:v>泡麵箱-小包裝</x:v>
      </x:c>
      <x:c r="C292" s="24" t="str">
        <x:v>食品類</x:v>
      </x:c>
      <x:c r="D292" s="24" t="str">
        <x:v>Cluster 5</x:v>
      </x:c>
      <x:c r="E292" s="26" t="n">
        <x:v>77</x:v>
      </x:c>
      <x:c r="F292" s="26" t="n">
        <x:v>35</x:v>
      </x:c>
      <x:c r="G292" s="24" t="str">
        <x:v>中</x:v>
      </x:c>
      <x:c r="H292" s="24" t="str">
        <x:v>中</x:v>
      </x:c>
      <x:c r="I292" s="24" t="str">
        <x:v>否</x:v>
      </x:c>
      <x:c r="J292" s="24" t="str">
        <x:v>否</x:v>
      </x:c>
      <x:c r="K292" s="24" t="str">
        <x:v>否</x:v>
      </x:c>
      <x:c r="L292" s="24" t="str"/>
      <x:c r="M292" s="28" t="n">
        <x:v>1</x:v>
      </x:c>
      <x:c r="N292" s="26" t="n">
        <x:v>199</x:v>
      </x:c>
      <x:c r="O292" s="26" t="n">
        <x:v>80</x:v>
      </x:c>
      <x:c r="P292" s="24" t="str">
        <x:v>是</x:v>
      </x:c>
      <x:c r="Q292" s="24" t="str">
        <x:v>遠端區</x:v>
      </x:c>
      <x:c r="R292" s="26" t="n">
        <x:v>73</x:v>
      </x:c>
      <x:c r="S292" s="24" t="str">
        <x:v>中頻</x:v>
      </x:c>
    </x:row>
    <x:row r="293">
      <x:c r="A293" s="24" t="str">
        <x:v>PX0289</x:v>
      </x:c>
      <x:c r="B293" s="24" t="str">
        <x:v>乾電池組-補充包</x:v>
      </x:c>
      <x:c r="C293" s="24" t="str">
        <x:v>耗材類</x:v>
      </x:c>
      <x:c r="D293" s="24" t="str">
        <x:v>Cluster 2</x:v>
      </x:c>
      <x:c r="E293" s="26" t="n">
        <x:v>16</x:v>
      </x:c>
      <x:c r="F293" s="26" t="n">
        <x:v>11</x:v>
      </x:c>
      <x:c r="G293" s="24" t="str">
        <x:v>大</x:v>
      </x:c>
      <x:c r="H293" s="24" t="str">
        <x:v>輕</x:v>
      </x:c>
      <x:c r="I293" s="24" t="str">
        <x:v>否</x:v>
      </x:c>
      <x:c r="J293" s="24" t="str">
        <x:v>否</x:v>
      </x:c>
      <x:c r="K293" s="24" t="str">
        <x:v>否</x:v>
      </x:c>
      <x:c r="L293" s="24" t="str"/>
      <x:c r="M293" s="28" t="n">
        <x:v>1</x:v>
      </x:c>
      <x:c r="N293" s="26" t="n">
        <x:v>40</x:v>
      </x:c>
      <x:c r="O293" s="26" t="n">
        <x:v>30</x:v>
      </x:c>
      <x:c r="P293" s="24" t="str">
        <x:v>是</x:v>
      </x:c>
      <x:c r="Q293" s="24" t="str">
        <x:v>彈性區</x:v>
      </x:c>
      <x:c r="R293" s="26" t="n">
        <x:v>53</x:v>
      </x:c>
      <x:c r="S293" s="24" t="str">
        <x:v>低頻、體積大</x:v>
      </x:c>
    </x:row>
    <x:row r="294">
      <x:c r="A294" s="24" t="str">
        <x:v>PX0290</x:v>
      </x:c>
      <x:c r="B294" s="24" t="str">
        <x:v>洗碗精-小包裝</x:v>
      </x:c>
      <x:c r="C294" s="24" t="str">
        <x:v>清潔用品</x:v>
      </x:c>
      <x:c r="D294" s="24" t="str">
        <x:v>Cluster 4</x:v>
      </x:c>
      <x:c r="E294" s="26" t="n">
        <x:v>129</x:v>
      </x:c>
      <x:c r="F294" s="26" t="n">
        <x:v>73</x:v>
      </x:c>
      <x:c r="G294" s="24" t="str">
        <x:v>小</x:v>
      </x:c>
      <x:c r="H294" s="24" t="str">
        <x:v>中</x:v>
      </x:c>
      <x:c r="I294" s="24" t="str">
        <x:v>是</x:v>
      </x:c>
      <x:c r="J294" s="24" t="str">
        <x:v>否</x:v>
      </x:c>
      <x:c r="K294" s="24" t="str">
        <x:v>是</x:v>
      </x:c>
      <x:c r="L294" s="24" t="str">
        <x:v>旺季</x:v>
      </x:c>
      <x:c r="M294" s="28" t="n">
        <x:v>2</x:v>
      </x:c>
      <x:c r="N294" s="26" t="n">
        <x:v>266</x:v>
      </x:c>
      <x:c r="O294" s="26" t="n">
        <x:v>48</x:v>
      </x:c>
      <x:c r="P294" s="24" t="str">
        <x:v>是</x:v>
      </x:c>
      <x:c r="Q294" s="24" t="str">
        <x:v>彈性區</x:v>
      </x:c>
      <x:c r="R294" s="26" t="n">
        <x:v>56</x:v>
      </x:c>
      <x:c r="S294" s="24" t="str">
        <x:v>高頻、液體、季節性</x:v>
      </x:c>
    </x:row>
    <x:row r="295">
      <x:c r="A295" s="24" t="str">
        <x:v>PX0291</x:v>
      </x:c>
      <x:c r="B295" s="24" t="str">
        <x:v>寵物罐頭箱-標準箱</x:v>
      </x:c>
      <x:c r="C295" s="24" t="str">
        <x:v>寵物用品</x:v>
      </x:c>
      <x:c r="D295" s="24" t="str">
        <x:v>Cluster 5</x:v>
      </x:c>
      <x:c r="E295" s="26" t="n">
        <x:v>33</x:v>
      </x:c>
      <x:c r="F295" s="26" t="n">
        <x:v>16</x:v>
      </x:c>
      <x:c r="G295" s="24" t="str">
        <x:v>中</x:v>
      </x:c>
      <x:c r="H295" s="24" t="str">
        <x:v>中</x:v>
      </x:c>
      <x:c r="I295" s="24" t="str">
        <x:v>否</x:v>
      </x:c>
      <x:c r="J295" s="24" t="str">
        <x:v>否</x:v>
      </x:c>
      <x:c r="K295" s="24" t="str">
        <x:v>否</x:v>
      </x:c>
      <x:c r="L295" s="24" t="str"/>
      <x:c r="M295" s="28" t="n">
        <x:v>1.1</x:v>
      </x:c>
      <x:c r="N295" s="26" t="n">
        <x:v>130</x:v>
      </x:c>
      <x:c r="O295" s="26" t="str"/>
      <x:c r="P295" s="24" t="str">
        <x:v>否</x:v>
      </x:c>
      <x:c r="Q295" s="24" t="str">
        <x:v>A區</x:v>
      </x:c>
      <x:c r="R295" s="26" t="n">
        <x:v>19</x:v>
      </x:c>
      <x:c r="S295" s="24" t="str">
        <x:v>低頻</x:v>
      </x:c>
    </x:row>
    <x:row r="296">
      <x:c r="A296" s="24" t="str">
        <x:v>PX0292</x:v>
      </x:c>
      <x:c r="B296" s="24" t="str">
        <x:v>茶飲料整箱-家庭號</x:v>
      </x:c>
      <x:c r="C296" s="24" t="str">
        <x:v>飲品類</x:v>
      </x:c>
      <x:c r="D296" s="24" t="str">
        <x:v>Cluster 3</x:v>
      </x:c>
      <x:c r="E296" s="26" t="n">
        <x:v>91</x:v>
      </x:c>
      <x:c r="F296" s="26" t="n">
        <x:v>66</x:v>
      </x:c>
      <x:c r="G296" s="24" t="str">
        <x:v>中</x:v>
      </x:c>
      <x:c r="H296" s="24" t="str">
        <x:v>重</x:v>
      </x:c>
      <x:c r="I296" s="24" t="str">
        <x:v>是</x:v>
      </x:c>
      <x:c r="J296" s="24" t="str">
        <x:v>否</x:v>
      </x:c>
      <x:c r="K296" s="24" t="str">
        <x:v>否</x:v>
      </x:c>
      <x:c r="L296" s="24" t="str"/>
      <x:c r="M296" s="28" t="n">
        <x:v>1.2</x:v>
      </x:c>
      <x:c r="N296" s="26" t="n">
        <x:v>447</x:v>
      </x:c>
      <x:c r="O296" s="26" t="n">
        <x:v>36</x:v>
      </x:c>
      <x:c r="P296" s="24" t="str">
        <x:v>是</x:v>
      </x:c>
      <x:c r="Q296" s="24" t="str">
        <x:v>遠端區</x:v>
      </x:c>
      <x:c r="R296" s="26" t="n">
        <x:v>75</x:v>
      </x:c>
      <x:c r="S296" s="24" t="str">
        <x:v>高頻、重物、液體</x:v>
      </x:c>
    </x:row>
    <x:row r="297">
      <x:c r="A297" s="24" t="str">
        <x:v>PX0293</x:v>
      </x:c>
      <x:c r="B297" s="24" t="str">
        <x:v>收納箱-標準箱</x:v>
      </x:c>
      <x:c r="C297" s="24" t="str">
        <x:v>家用品</x:v>
      </x:c>
      <x:c r="D297" s="24" t="str">
        <x:v>Cluster 2</x:v>
      </x:c>
      <x:c r="E297" s="26" t="n">
        <x:v>74</x:v>
      </x:c>
      <x:c r="F297" s="26" t="n">
        <x:v>39</x:v>
      </x:c>
      <x:c r="G297" s="24" t="str">
        <x:v>大</x:v>
      </x:c>
      <x:c r="H297" s="24" t="str">
        <x:v>輕</x:v>
      </x:c>
      <x:c r="I297" s="24" t="str">
        <x:v>否</x:v>
      </x:c>
      <x:c r="J297" s="24" t="str">
        <x:v>否</x:v>
      </x:c>
      <x:c r="K297" s="24" t="str">
        <x:v>否</x:v>
      </x:c>
      <x:c r="L297" s="24" t="str"/>
      <x:c r="M297" s="28" t="n">
        <x:v>1</x:v>
      </x:c>
      <x:c r="N297" s="26" t="n">
        <x:v>303</x:v>
      </x:c>
      <x:c r="O297" s="26" t="n">
        <x:v>20</x:v>
      </x:c>
      <x:c r="P297" s="24" t="str">
        <x:v>是</x:v>
      </x:c>
      <x:c r="Q297" s="24" t="str">
        <x:v>3區</x:v>
      </x:c>
      <x:c r="R297" s="26" t="n">
        <x:v>33</x:v>
      </x:c>
      <x:c r="S297" s="24" t="str">
        <x:v>中頻、體積大</x:v>
      </x:c>
    </x:row>
    <x:row r="298">
      <x:c r="A298" s="24" t="str">
        <x:v>PX0294</x:v>
      </x:c>
      <x:c r="B298" s="24" t="str">
        <x:v>寵物罐頭箱-家庭號</x:v>
      </x:c>
      <x:c r="C298" s="24" t="str">
        <x:v>寵物用品</x:v>
      </x:c>
      <x:c r="D298" s="24" t="str">
        <x:v>Cluster 4</x:v>
      </x:c>
      <x:c r="E298" s="26" t="n">
        <x:v>38</x:v>
      </x:c>
      <x:c r="F298" s="26" t="n">
        <x:v>10</x:v>
      </x:c>
      <x:c r="G298" s="24" t="str">
        <x:v>小</x:v>
      </x:c>
      <x:c r="H298" s="24" t="str">
        <x:v>中</x:v>
      </x:c>
      <x:c r="I298" s="24" t="str">
        <x:v>否</x:v>
      </x:c>
      <x:c r="J298" s="24" t="str">
        <x:v>是</x:v>
      </x:c>
      <x:c r="K298" s="24" t="str">
        <x:v>是</x:v>
      </x:c>
      <x:c r="L298" s="24" t="str">
        <x:v>旺季</x:v>
      </x:c>
      <x:c r="M298" s="28" t="n">
        <x:v>1.8</x:v>
      </x:c>
      <x:c r="N298" s="26" t="n">
        <x:v>121</x:v>
      </x:c>
      <x:c r="O298" s="26" t="str"/>
      <x:c r="P298" s="24" t="str">
        <x:v>否</x:v>
      </x:c>
      <x:c r="Q298" s="24" t="str">
        <x:v>A區</x:v>
      </x:c>
      <x:c r="R298" s="26" t="n">
        <x:v>18</x:v>
      </x:c>
      <x:c r="S298" s="24" t="str">
        <x:v>中頻、易碎、季節性</x:v>
      </x:c>
    </x:row>
    <x:row r="299">
      <x:c r="A299" s="24" t="str">
        <x:v>PX0295</x:v>
      </x:c>
      <x:c r="B299" s="24" t="str">
        <x:v>備用耗材-補充包</x:v>
      </x:c>
      <x:c r="C299" s="24" t="str">
        <x:v>耗材類</x:v>
      </x:c>
      <x:c r="D299" s="24" t="str">
        <x:v>Cluster 2</x:v>
      </x:c>
      <x:c r="E299" s="26" t="n">
        <x:v>54</x:v>
      </x:c>
      <x:c r="F299" s="26" t="n">
        <x:v>27</x:v>
      </x:c>
      <x:c r="G299" s="24" t="str">
        <x:v>大</x:v>
      </x:c>
      <x:c r="H299" s="24" t="str">
        <x:v>輕</x:v>
      </x:c>
      <x:c r="I299" s="24" t="str">
        <x:v>否</x:v>
      </x:c>
      <x:c r="J299" s="24" t="str">
        <x:v>否</x:v>
      </x:c>
      <x:c r="K299" s="24" t="str">
        <x:v>否</x:v>
      </x:c>
      <x:c r="L299" s="24" t="str"/>
      <x:c r="M299" s="28" t="n">
        <x:v>1.1</x:v>
      </x:c>
      <x:c r="N299" s="26" t="n">
        <x:v>150</x:v>
      </x:c>
      <x:c r="O299" s="26" t="n">
        <x:v>18</x:v>
      </x:c>
      <x:c r="P299" s="24" t="str">
        <x:v>是</x:v>
      </x:c>
      <x:c r="Q299" s="24" t="str">
        <x:v>K區</x:v>
      </x:c>
      <x:c r="R299" s="26" t="n">
        <x:v>39</x:v>
      </x:c>
      <x:c r="S299" s="24" t="str">
        <x:v>中頻、體積大</x:v>
      </x:c>
    </x:row>
    <x:row r="300">
      <x:c r="A300" s="24" t="str">
        <x:v>PX0296</x:v>
      </x:c>
      <x:c r="B300" s="24" t="str">
        <x:v>手套耗材-家庭號</x:v>
      </x:c>
      <x:c r="C300" s="24" t="str">
        <x:v>耗材類</x:v>
      </x:c>
      <x:c r="D300" s="24" t="str">
        <x:v>Cluster 5</x:v>
      </x:c>
      <x:c r="E300" s="26" t="n">
        <x:v>165</x:v>
      </x:c>
      <x:c r="F300" s="26" t="n">
        <x:v>67</x:v>
      </x:c>
      <x:c r="G300" s="24" t="str">
        <x:v>小</x:v>
      </x:c>
      <x:c r="H300" s="24" t="str">
        <x:v>中</x:v>
      </x:c>
      <x:c r="I300" s="24" t="str">
        <x:v>否</x:v>
      </x:c>
      <x:c r="J300" s="24" t="str">
        <x:v>否</x:v>
      </x:c>
      <x:c r="K300" s="24" t="str">
        <x:v>否</x:v>
      </x:c>
      <x:c r="L300" s="24" t="str"/>
      <x:c r="M300" s="28" t="n">
        <x:v>1</x:v>
      </x:c>
      <x:c r="N300" s="26" t="n">
        <x:v>414</x:v>
      </x:c>
      <x:c r="O300" s="26" t="n">
        <x:v>48</x:v>
      </x:c>
      <x:c r="P300" s="24" t="str">
        <x:v>是</x:v>
      </x:c>
      <x:c r="Q300" s="24" t="str">
        <x:v>遠端區</x:v>
      </x:c>
      <x:c r="R300" s="26" t="n">
        <x:v>72</x:v>
      </x:c>
      <x:c r="S300" s="24" t="str">
        <x:v>高頻</x:v>
      </x:c>
    </x:row>
    <x:row r="301">
      <x:c r="A301" s="24" t="str">
        <x:v>PX0297</x:v>
      </x:c>
      <x:c r="B301" s="24" t="str">
        <x:v>衣架組-箱裝</x:v>
      </x:c>
      <x:c r="C301" s="24" t="str">
        <x:v>家用品</x:v>
      </x:c>
      <x:c r="D301" s="24" t="str">
        <x:v>Cluster 2</x:v>
      </x:c>
      <x:c r="E301" s="26" t="n">
        <x:v>65</x:v>
      </x:c>
      <x:c r="F301" s="26" t="n">
        <x:v>35</x:v>
      </x:c>
      <x:c r="G301" s="24" t="str">
        <x:v>大</x:v>
      </x:c>
      <x:c r="H301" s="24" t="str">
        <x:v>輕</x:v>
      </x:c>
      <x:c r="I301" s="24" t="str">
        <x:v>否</x:v>
      </x:c>
      <x:c r="J301" s="24" t="str">
        <x:v>否</x:v>
      </x:c>
      <x:c r="K301" s="24" t="str">
        <x:v>否</x:v>
      </x:c>
      <x:c r="L301" s="24" t="str"/>
      <x:c r="M301" s="28" t="n">
        <x:v>1</x:v>
      </x:c>
      <x:c r="N301" s="26" t="n">
        <x:v>270</x:v>
      </x:c>
      <x:c r="O301" s="26" t="n">
        <x:v>30</x:v>
      </x:c>
      <x:c r="P301" s="24" t="str">
        <x:v>是</x:v>
      </x:c>
      <x:c r="Q301" s="24" t="str">
        <x:v>K區</x:v>
      </x:c>
      <x:c r="R301" s="26" t="n">
        <x:v>54</x:v>
      </x:c>
      <x:c r="S301" s="24" t="str">
        <x:v>中頻、體積大</x:v>
      </x:c>
    </x:row>
    <x:row r="302">
      <x:c r="A302" s="24" t="str">
        <x:v>PX0298</x:v>
      </x:c>
      <x:c r="B302" s="24" t="str">
        <x:v>白米3kg-促銷組</x:v>
      </x:c>
      <x:c r="C302" s="24" t="str">
        <x:v>食品類</x:v>
      </x:c>
      <x:c r="D302" s="24" t="str">
        <x:v>Cluster 5</x:v>
      </x:c>
      <x:c r="E302" s="26" t="n">
        <x:v>29</x:v>
      </x:c>
      <x:c r="F302" s="26" t="n">
        <x:v>14</x:v>
      </x:c>
      <x:c r="G302" s="24" t="str">
        <x:v>中</x:v>
      </x:c>
      <x:c r="H302" s="24" t="str">
        <x:v>重</x:v>
      </x:c>
      <x:c r="I302" s="24" t="str">
        <x:v>否</x:v>
      </x:c>
      <x:c r="J302" s="24" t="str">
        <x:v>否</x:v>
      </x:c>
      <x:c r="K302" s="24" t="str">
        <x:v>否</x:v>
      </x:c>
      <x:c r="L302" s="24" t="str"/>
      <x:c r="M302" s="28" t="n">
        <x:v>1</x:v>
      </x:c>
      <x:c r="N302" s="26" t="n">
        <x:v>129</x:v>
      </x:c>
      <x:c r="O302" s="26" t="n">
        <x:v>48</x:v>
      </x:c>
      <x:c r="P302" s="24" t="str">
        <x:v>是</x:v>
      </x:c>
      <x:c r="Q302" s="24" t="str">
        <x:v>K區</x:v>
      </x:c>
      <x:c r="R302" s="26" t="n">
        <x:v>44</x:v>
      </x:c>
      <x:c r="S302" s="24" t="str">
        <x:v>低頻、重物</x:v>
      </x:c>
    </x:row>
    <x:row r="303">
      <x:c r="A303" s="24" t="str">
        <x:v>PX0299</x:v>
      </x:c>
      <x:c r="B303" s="24" t="str">
        <x:v>尿布箱-小包裝</x:v>
      </x:c>
      <x:c r="C303" s="24" t="str">
        <x:v>日用品</x:v>
      </x:c>
      <x:c r="D303" s="24" t="str">
        <x:v>Cluster 2</x:v>
      </x:c>
      <x:c r="E303" s="26" t="n">
        <x:v>46</x:v>
      </x:c>
      <x:c r="F303" s="26" t="n">
        <x:v>32</x:v>
      </x:c>
      <x:c r="G303" s="24" t="str">
        <x:v>大</x:v>
      </x:c>
      <x:c r="H303" s="24" t="str">
        <x:v>輕</x:v>
      </x:c>
      <x:c r="I303" s="24" t="str">
        <x:v>否</x:v>
      </x:c>
      <x:c r="J303" s="24" t="str">
        <x:v>否</x:v>
      </x:c>
      <x:c r="K303" s="24" t="str">
        <x:v>否</x:v>
      </x:c>
      <x:c r="L303" s="24" t="str"/>
      <x:c r="M303" s="28" t="n">
        <x:v>1</x:v>
      </x:c>
      <x:c r="N303" s="26" t="n">
        <x:v>122</x:v>
      </x:c>
      <x:c r="O303" s="26" t="n">
        <x:v>20</x:v>
      </x:c>
      <x:c r="P303" s="24" t="str">
        <x:v>是</x:v>
      </x:c>
      <x:c r="Q303" s="24" t="str">
        <x:v>遠端區</x:v>
      </x:c>
      <x:c r="R303" s="26" t="n">
        <x:v>71</x:v>
      </x:c>
      <x:c r="S303" s="24" t="str">
        <x:v>中頻、體積大</x:v>
      </x:c>
    </x:row>
    <x:row r="304">
      <x:c r="A304" s="24" t="str">
        <x:v>PX0300</x:v>
      </x:c>
      <x:c r="B304" s="24" t="str">
        <x:v>運動飲料整箱-家庭號</x:v>
      </x:c>
      <x:c r="C304" s="24" t="str">
        <x:v>飲品類</x:v>
      </x:c>
      <x:c r="D304" s="24" t="str">
        <x:v>Cluster 1</x:v>
      </x:c>
      <x:c r="E304" s="26" t="n">
        <x:v>17</x:v>
      </x:c>
      <x:c r="F304" s="26" t="n">
        <x:v>12</x:v>
      </x:c>
      <x:c r="G304" s="24" t="str">
        <x:v>中</x:v>
      </x:c>
      <x:c r="H304" s="24" t="str">
        <x:v>重</x:v>
      </x:c>
      <x:c r="I304" s="24" t="str">
        <x:v>是</x:v>
      </x:c>
      <x:c r="J304" s="24" t="str">
        <x:v>否</x:v>
      </x:c>
      <x:c r="K304" s="24" t="str">
        <x:v>否</x:v>
      </x:c>
      <x:c r="L304" s="24" t="str"/>
      <x:c r="M304" s="28" t="n">
        <x:v>1.2</x:v>
      </x:c>
      <x:c r="N304" s="26" t="n">
        <x:v>82</x:v>
      </x:c>
      <x:c r="O304" s="26" t="n">
        <x:v>40</x:v>
      </x:c>
      <x:c r="P304" s="24" t="str">
        <x:v>是</x:v>
      </x:c>
      <x:c r="Q304" s="24" t="str">
        <x:v>遠端區</x:v>
      </x:c>
      <x:c r="R304" s="26" t="n">
        <x:v>68</x:v>
      </x:c>
      <x:c r="S304" s="24" t="str">
        <x:v>低頻、重物、液體</x:v>
      </x:c>
    </x:row>
    <x:row r="305">
      <x:c r="A305" s="24" t="str">
        <x:v>PX0301</x:v>
      </x:c>
      <x:c r="B305" s="24" t="str">
        <x:v>抹布組-促銷組</x:v>
      </x:c>
      <x:c r="C305" s="24" t="str">
        <x:v>家用品</x:v>
      </x:c>
      <x:c r="D305" s="24" t="str">
        <x:v>Cluster 5</x:v>
      </x:c>
      <x:c r="E305" s="26" t="n">
        <x:v>56</x:v>
      </x:c>
      <x:c r="F305" s="26" t="n">
        <x:v>25</x:v>
      </x:c>
      <x:c r="G305" s="24" t="str">
        <x:v>小</x:v>
      </x:c>
      <x:c r="H305" s="24" t="str">
        <x:v>輕</x:v>
      </x:c>
      <x:c r="I305" s="24" t="str">
        <x:v>否</x:v>
      </x:c>
      <x:c r="J305" s="24" t="str">
        <x:v>否</x:v>
      </x:c>
      <x:c r="K305" s="24" t="str">
        <x:v>否</x:v>
      </x:c>
      <x:c r="L305" s="24" t="str"/>
      <x:c r="M305" s="28" t="n">
        <x:v>1</x:v>
      </x:c>
      <x:c r="N305" s="26" t="n">
        <x:v>237</x:v>
      </x:c>
      <x:c r="O305" s="26" t="str"/>
      <x:c r="P305" s="24" t="str">
        <x:v>否</x:v>
      </x:c>
      <x:c r="Q305" s="24" t="str">
        <x:v>3區</x:v>
      </x:c>
      <x:c r="R305" s="26" t="n">
        <x:v>45</x:v>
      </x:c>
      <x:c r="S305" s="24" t="str">
        <x:v>中頻</x:v>
      </x:c>
    </x:row>
    <x:row r="306">
      <x:c r="A306" s="24" t="str">
        <x:v>PX0302</x:v>
      </x:c>
      <x:c r="B306" s="24" t="str">
        <x:v>年節禮盒組-補充包</x:v>
      </x:c>
      <x:c r="C306" s="24" t="str">
        <x:v>季節商品</x:v>
      </x:c>
      <x:c r="D306" s="24" t="str">
        <x:v>Cluster 4</x:v>
      </x:c>
      <x:c r="E306" s="26" t="n">
        <x:v>14</x:v>
      </x:c>
      <x:c r="F306" s="26" t="n">
        <x:v>11</x:v>
      </x:c>
      <x:c r="G306" s="24" t="str">
        <x:v>大</x:v>
      </x:c>
      <x:c r="H306" s="24" t="str">
        <x:v>輕</x:v>
      </x:c>
      <x:c r="I306" s="24" t="str">
        <x:v>否</x:v>
      </x:c>
      <x:c r="J306" s="24" t="str">
        <x:v>是</x:v>
      </x:c>
      <x:c r="K306" s="24" t="str">
        <x:v>是</x:v>
      </x:c>
      <x:c r="L306" s="24" t="str">
        <x:v>1-2月</x:v>
      </x:c>
      <x:c r="M306" s="28" t="n">
        <x:v>2</x:v>
      </x:c>
      <x:c r="N306" s="26" t="n">
        <x:v>46</x:v>
      </x:c>
      <x:c r="O306" s="26" t="n">
        <x:v>20</x:v>
      </x:c>
      <x:c r="P306" s="24" t="str">
        <x:v>是</x:v>
      </x:c>
      <x:c r="Q306" s="24" t="str">
        <x:v>1區</x:v>
      </x:c>
      <x:c r="R306" s="26" t="n">
        <x:v>43</x:v>
      </x:c>
      <x:c r="S306" s="24" t="str">
        <x:v>低頻、體積大、易碎、季節性</x:v>
      </x:c>
    </x:row>
    <x:row r="307">
      <x:c r="A307" s="24" t="str">
        <x:v>PX0303</x:v>
      </x:c>
      <x:c r="B307" s="24" t="str">
        <x:v>家庭號礦泉水-促銷組</x:v>
      </x:c>
      <x:c r="C307" s="24" t="str">
        <x:v>飲品類</x:v>
      </x:c>
      <x:c r="D307" s="24" t="str">
        <x:v>Cluster 2</x:v>
      </x:c>
      <x:c r="E307" s="26" t="n">
        <x:v>71</x:v>
      </x:c>
      <x:c r="F307" s="26" t="n">
        <x:v>50</x:v>
      </x:c>
      <x:c r="G307" s="24" t="str">
        <x:v>中</x:v>
      </x:c>
      <x:c r="H307" s="24" t="str">
        <x:v>重</x:v>
      </x:c>
      <x:c r="I307" s="24" t="str">
        <x:v>是</x:v>
      </x:c>
      <x:c r="J307" s="24" t="str">
        <x:v>否</x:v>
      </x:c>
      <x:c r="K307" s="24" t="str">
        <x:v>否</x:v>
      </x:c>
      <x:c r="L307" s="24" t="str"/>
      <x:c r="M307" s="28" t="n">
        <x:v>1.5</x:v>
      </x:c>
      <x:c r="N307" s="26" t="n">
        <x:v>187</x:v>
      </x:c>
      <x:c r="O307" s="26" t="n">
        <x:v>40</x:v>
      </x:c>
      <x:c r="P307" s="24" t="str">
        <x:v>是</x:v>
      </x:c>
      <x:c r="Q307" s="24" t="str">
        <x:v>A區</x:v>
      </x:c>
      <x:c r="R307" s="26" t="n">
        <x:v>34</x:v>
      </x:c>
      <x:c r="S307" s="24" t="str">
        <x:v>中頻、重物、液體</x:v>
      </x:c>
    </x:row>
    <x:row r="308">
      <x:c r="A308" s="24" t="str">
        <x:v>PX0304</x:v>
      </x:c>
      <x:c r="B308" s="24" t="str">
        <x:v>餅乾箱-箱裝</x:v>
      </x:c>
      <x:c r="C308" s="24" t="str">
        <x:v>食品類</x:v>
      </x:c>
      <x:c r="D308" s="24" t="str">
        <x:v>Cluster 4</x:v>
      </x:c>
      <x:c r="E308" s="26" t="n">
        <x:v>23</x:v>
      </x:c>
      <x:c r="F308" s="26" t="n">
        <x:v>5</x:v>
      </x:c>
      <x:c r="G308" s="24" t="str">
        <x:v>中</x:v>
      </x:c>
      <x:c r="H308" s="24" t="str">
        <x:v>中</x:v>
      </x:c>
      <x:c r="I308" s="24" t="str">
        <x:v>否</x:v>
      </x:c>
      <x:c r="J308" s="24" t="str">
        <x:v>否</x:v>
      </x:c>
      <x:c r="K308" s="24" t="str">
        <x:v>是</x:v>
      </x:c>
      <x:c r="L308" s="24" t="str">
        <x:v>旺季</x:v>
      </x:c>
      <x:c r="M308" s="28" t="n">
        <x:v>2</x:v>
      </x:c>
      <x:c r="N308" s="26" t="n">
        <x:v>74</x:v>
      </x:c>
      <x:c r="O308" s="26" t="str"/>
      <x:c r="P308" s="24" t="str">
        <x:v>否</x:v>
      </x:c>
      <x:c r="Q308" s="24" t="str">
        <x:v>K區</x:v>
      </x:c>
      <x:c r="R308" s="26" t="n">
        <x:v>46</x:v>
      </x:c>
      <x:c r="S308" s="24" t="str">
        <x:v>低頻、季節性</x:v>
      </x:c>
    </x:row>
    <x:row r="309">
      <x:c r="A309" s="24" t="str">
        <x:v>PX0305</x:v>
      </x:c>
      <x:c r="B309" s="24" t="str">
        <x:v>寵物罐頭箱-小包裝</x:v>
      </x:c>
      <x:c r="C309" s="24" t="str">
        <x:v>寵物用品</x:v>
      </x:c>
      <x:c r="D309" s="24" t="str">
        <x:v>Cluster 5</x:v>
      </x:c>
      <x:c r="E309" s="26" t="n">
        <x:v>65</x:v>
      </x:c>
      <x:c r="F309" s="26" t="n">
        <x:v>40</x:v>
      </x:c>
      <x:c r="G309" s="24" t="str">
        <x:v>小</x:v>
      </x:c>
      <x:c r="H309" s="24" t="str">
        <x:v>輕</x:v>
      </x:c>
      <x:c r="I309" s="24" t="str">
        <x:v>否</x:v>
      </x:c>
      <x:c r="J309" s="24" t="str">
        <x:v>否</x:v>
      </x:c>
      <x:c r="K309" s="24" t="str">
        <x:v>否</x:v>
      </x:c>
      <x:c r="L309" s="24" t="str"/>
      <x:c r="M309" s="28" t="n">
        <x:v>1</x:v>
      </x:c>
      <x:c r="N309" s="26" t="n">
        <x:v>135</x:v>
      </x:c>
      <x:c r="O309" s="26" t="n">
        <x:v>72</x:v>
      </x:c>
      <x:c r="P309" s="24" t="str">
        <x:v>是</x:v>
      </x:c>
      <x:c r="Q309" s="24" t="str">
        <x:v>3區</x:v>
      </x:c>
      <x:c r="R309" s="26" t="n">
        <x:v>38</x:v>
      </x:c>
      <x:c r="S309" s="24" t="str">
        <x:v>中頻</x:v>
      </x:c>
    </x:row>
    <x:row r="310">
      <x:c r="A310" s="24" t="str">
        <x:v>PX0306</x:v>
      </x:c>
      <x:c r="B310" s="24" t="str">
        <x:v>餐巾紙箱-標準箱</x:v>
      </x:c>
      <x:c r="C310" s="24" t="str">
        <x:v>紙品類</x:v>
      </x:c>
      <x:c r="D310" s="24" t="str">
        <x:v>Cluster 2</x:v>
      </x:c>
      <x:c r="E310" s="26" t="n">
        <x:v>31</x:v>
      </x:c>
      <x:c r="F310" s="26" t="n">
        <x:v>16</x:v>
      </x:c>
      <x:c r="G310" s="24" t="str">
        <x:v>大</x:v>
      </x:c>
      <x:c r="H310" s="24" t="str">
        <x:v>中</x:v>
      </x:c>
      <x:c r="I310" s="24" t="str">
        <x:v>否</x:v>
      </x:c>
      <x:c r="J310" s="24" t="str">
        <x:v>否</x:v>
      </x:c>
      <x:c r="K310" s="24" t="str">
        <x:v>否</x:v>
      </x:c>
      <x:c r="L310" s="24" t="str"/>
      <x:c r="M310" s="28" t="n">
        <x:v>1</x:v>
      </x:c>
      <x:c r="N310" s="26" t="n">
        <x:v>119</x:v>
      </x:c>
      <x:c r="O310" s="26" t="n">
        <x:v>20</x:v>
      </x:c>
      <x:c r="P310" s="24" t="str">
        <x:v>是</x:v>
      </x:c>
      <x:c r="Q310" s="24" t="str">
        <x:v>K區</x:v>
      </x:c>
      <x:c r="R310" s="26" t="n">
        <x:v>53</x:v>
      </x:c>
      <x:c r="S310" s="24" t="str">
        <x:v>低頻、體積大</x:v>
      </x:c>
    </x:row>
    <x:row r="311">
      <x:c r="A311" s="24" t="str">
        <x:v>PX0307</x:v>
      </x:c>
      <x:c r="B311" s="24" t="str">
        <x:v>泡麵箱-家庭號</x:v>
      </x:c>
      <x:c r="C311" s="24" t="str">
        <x:v>食品類</x:v>
      </x:c>
      <x:c r="D311" s="24" t="str">
        <x:v>Cluster 5</x:v>
      </x:c>
      <x:c r="E311" s="26" t="n">
        <x:v>87</x:v>
      </x:c>
      <x:c r="F311" s="26" t="n">
        <x:v>46</x:v>
      </x:c>
      <x:c r="G311" s="24" t="str">
        <x:v>中</x:v>
      </x:c>
      <x:c r="H311" s="24" t="str">
        <x:v>中</x:v>
      </x:c>
      <x:c r="I311" s="24" t="str">
        <x:v>否</x:v>
      </x:c>
      <x:c r="J311" s="24" t="str">
        <x:v>否</x:v>
      </x:c>
      <x:c r="K311" s="24" t="str">
        <x:v>否</x:v>
      </x:c>
      <x:c r="L311" s="24" t="str"/>
      <x:c r="M311" s="28" t="n">
        <x:v>1</x:v>
      </x:c>
      <x:c r="N311" s="26" t="n">
        <x:v>326</x:v>
      </x:c>
      <x:c r="O311" s="26" t="n">
        <x:v>80</x:v>
      </x:c>
      <x:c r="P311" s="24" t="str">
        <x:v>是</x:v>
      </x:c>
      <x:c r="Q311" s="24" t="str">
        <x:v>K區</x:v>
      </x:c>
      <x:c r="R311" s="26" t="n">
        <x:v>44</x:v>
      </x:c>
      <x:c r="S311" s="24" t="str">
        <x:v>高頻</x:v>
      </x:c>
    </x:row>
    <x:row r="312">
      <x:c r="A312" s="24" t="str">
        <x:v>PX0308</x:v>
      </x:c>
      <x:c r="B312" s="24" t="str">
        <x:v>寵物罐頭箱-箱裝</x:v>
      </x:c>
      <x:c r="C312" s="24" t="str">
        <x:v>寵物用品</x:v>
      </x:c>
      <x:c r="D312" s="24" t="str">
        <x:v>Cluster 5</x:v>
      </x:c>
      <x:c r="E312" s="26" t="n">
        <x:v>52</x:v>
      </x:c>
      <x:c r="F312" s="26" t="n">
        <x:v>32</x:v>
      </x:c>
      <x:c r="G312" s="24" t="str">
        <x:v>中</x:v>
      </x:c>
      <x:c r="H312" s="24" t="str">
        <x:v>中</x:v>
      </x:c>
      <x:c r="I312" s="24" t="str">
        <x:v>否</x:v>
      </x:c>
      <x:c r="J312" s="24" t="str">
        <x:v>否</x:v>
      </x:c>
      <x:c r="K312" s="24" t="str">
        <x:v>否</x:v>
      </x:c>
      <x:c r="L312" s="24" t="str"/>
      <x:c r="M312" s="28" t="n">
        <x:v>1</x:v>
      </x:c>
      <x:c r="N312" s="26" t="n">
        <x:v>105</x:v>
      </x:c>
      <x:c r="O312" s="26" t="str"/>
      <x:c r="P312" s="24" t="str">
        <x:v>否</x:v>
      </x:c>
      <x:c r="Q312" s="24" t="str">
        <x:v>遠端區</x:v>
      </x:c>
      <x:c r="R312" s="26" t="n">
        <x:v>58</x:v>
      </x:c>
      <x:c r="S312" s="24" t="str">
        <x:v>中頻</x:v>
      </x:c>
    </x:row>
    <x:row r="313">
      <x:c r="A313" s="24" t="str">
        <x:v>PX0309</x:v>
      </x:c>
      <x:c r="B313" s="24" t="str">
        <x:v>茶飲料整箱-補充包</x:v>
      </x:c>
      <x:c r="C313" s="24" t="str">
        <x:v>飲品類</x:v>
      </x:c>
      <x:c r="D313" s="24" t="str">
        <x:v>Cluster 2</x:v>
      </x:c>
      <x:c r="E313" s="26" t="n">
        <x:v>88</x:v>
      </x:c>
      <x:c r="F313" s="26" t="n">
        <x:v>47</x:v>
      </x:c>
      <x:c r="G313" s="24" t="str">
        <x:v>中</x:v>
      </x:c>
      <x:c r="H313" s="24" t="str">
        <x:v>重</x:v>
      </x:c>
      <x:c r="I313" s="24" t="str">
        <x:v>是</x:v>
      </x:c>
      <x:c r="J313" s="24" t="str">
        <x:v>否</x:v>
      </x:c>
      <x:c r="K313" s="24" t="str">
        <x:v>否</x:v>
      </x:c>
      <x:c r="L313" s="24" t="str"/>
      <x:c r="M313" s="28" t="n">
        <x:v>1.3</x:v>
      </x:c>
      <x:c r="N313" s="26" t="n">
        <x:v>433</x:v>
      </x:c>
      <x:c r="O313" s="26" t="n">
        <x:v>48</x:v>
      </x:c>
      <x:c r="P313" s="24" t="str">
        <x:v>是</x:v>
      </x:c>
      <x:c r="Q313" s="24" t="str">
        <x:v>1區</x:v>
      </x:c>
      <x:c r="R313" s="26" t="n">
        <x:v>44</x:v>
      </x:c>
      <x:c r="S313" s="24" t="str">
        <x:v>高頻、重物、液體</x:v>
      </x:c>
    </x:row>
    <x:row r="314">
      <x:c r="A314" s="24" t="str">
        <x:v>PX0310</x:v>
      </x:c>
      <x:c r="B314" s="24" t="str">
        <x:v>蛋捲禮盒-小包裝</x:v>
      </x:c>
      <x:c r="C314" s="24" t="str">
        <x:v>季節商品</x:v>
      </x:c>
      <x:c r="D314" s="24" t="str">
        <x:v>Cluster 4</x:v>
      </x:c>
      <x:c r="E314" s="26" t="n">
        <x:v>26</x:v>
      </x:c>
      <x:c r="F314" s="26" t="n">
        <x:v>12</x:v>
      </x:c>
      <x:c r="G314" s="24" t="str">
        <x:v>大</x:v>
      </x:c>
      <x:c r="H314" s="24" t="str">
        <x:v>輕</x:v>
      </x:c>
      <x:c r="I314" s="24" t="str">
        <x:v>否</x:v>
      </x:c>
      <x:c r="J314" s="24" t="str">
        <x:v>是</x:v>
      </x:c>
      <x:c r="K314" s="24" t="str">
        <x:v>是</x:v>
      </x:c>
      <x:c r="L314" s="24" t="str">
        <x:v>1-2月</x:v>
      </x:c>
      <x:c r="M314" s="28" t="n">
        <x:v>2</x:v>
      </x:c>
      <x:c r="N314" s="26" t="n">
        <x:v>107</x:v>
      </x:c>
      <x:c r="O314" s="26" t="n">
        <x:v>30</x:v>
      </x:c>
      <x:c r="P314" s="24" t="str">
        <x:v>是</x:v>
      </x:c>
      <x:c r="Q314" s="24" t="str">
        <x:v>K區</x:v>
      </x:c>
      <x:c r="R314" s="26" t="n">
        <x:v>56</x:v>
      </x:c>
      <x:c r="S314" s="24" t="str">
        <x:v>低頻、體積大、易碎、季節性</x:v>
      </x:c>
    </x:row>
    <x:row r="315">
      <x:c r="A315" s="24" t="str">
        <x:v>PX0311</x:v>
      </x:c>
      <x:c r="B315" s="24" t="str">
        <x:v>暖暖包-小包裝</x:v>
      </x:c>
      <x:c r="C315" s="24" t="str">
        <x:v>季節商品</x:v>
      </x:c>
      <x:c r="D315" s="24" t="str">
        <x:v>Cluster 4</x:v>
      </x:c>
      <x:c r="E315" s="26" t="n">
        <x:v>50</x:v>
      </x:c>
      <x:c r="F315" s="26" t="n">
        <x:v>15</x:v>
      </x:c>
      <x:c r="G315" s="24" t="str">
        <x:v>中</x:v>
      </x:c>
      <x:c r="H315" s="24" t="str">
        <x:v>中</x:v>
      </x:c>
      <x:c r="I315" s="24" t="str">
        <x:v>否</x:v>
      </x:c>
      <x:c r="J315" s="24" t="str">
        <x:v>否</x:v>
      </x:c>
      <x:c r="K315" s="24" t="str">
        <x:v>是</x:v>
      </x:c>
      <x:c r="L315" s="24" t="str">
        <x:v>11-2月</x:v>
      </x:c>
      <x:c r="M315" s="28" t="n">
        <x:v>2.5</x:v>
      </x:c>
      <x:c r="N315" s="26" t="n">
        <x:v>110</x:v>
      </x:c>
      <x:c r="O315" s="26" t="str"/>
      <x:c r="P315" s="24" t="str">
        <x:v>否</x:v>
      </x:c>
      <x:c r="Q315" s="24" t="str">
        <x:v>遠端區</x:v>
      </x:c>
      <x:c r="R315" s="26" t="n">
        <x:v>64</x:v>
      </x:c>
      <x:c r="S315" s="24" t="str">
        <x:v>中頻、季節性</x:v>
      </x:c>
    </x:row>
    <x:row r="316">
      <x:c r="A316" s="24" t="str">
        <x:v>PX0312</x:v>
      </x:c>
      <x:c r="B316" s="24" t="str">
        <x:v>乾電池組-小包裝</x:v>
      </x:c>
      <x:c r="C316" s="24" t="str">
        <x:v>耗材類</x:v>
      </x:c>
      <x:c r="D316" s="24" t="str">
        <x:v>Cluster 5</x:v>
      </x:c>
      <x:c r="E316" s="26" t="n">
        <x:v>47</x:v>
      </x:c>
      <x:c r="F316" s="26" t="n">
        <x:v>30</x:v>
      </x:c>
      <x:c r="G316" s="24" t="str">
        <x:v>中</x:v>
      </x:c>
      <x:c r="H316" s="24" t="str">
        <x:v>中</x:v>
      </x:c>
      <x:c r="I316" s="24" t="str">
        <x:v>否</x:v>
      </x:c>
      <x:c r="J316" s="24" t="str">
        <x:v>否</x:v>
      </x:c>
      <x:c r="K316" s="24" t="str">
        <x:v>否</x:v>
      </x:c>
      <x:c r="L316" s="24" t="str"/>
      <x:c r="M316" s="28" t="n">
        <x:v>1</x:v>
      </x:c>
      <x:c r="N316" s="26" t="n">
        <x:v>140</x:v>
      </x:c>
      <x:c r="O316" s="26" t="str"/>
      <x:c r="P316" s="24" t="str">
        <x:v>否</x:v>
      </x:c>
      <x:c r="Q316" s="24" t="str">
        <x:v>1區</x:v>
      </x:c>
      <x:c r="R316" s="26" t="n">
        <x:v>27</x:v>
      </x:c>
      <x:c r="S316" s="24" t="str">
        <x:v>中頻</x:v>
      </x:c>
    </x:row>
    <x:row r="317">
      <x:c r="A317" s="24" t="str">
        <x:v>PX0313</x:v>
      </x:c>
      <x:c r="B317" s="24" t="str">
        <x:v>垃圾袋-促銷組</x:v>
      </x:c>
      <x:c r="C317" s="24" t="str">
        <x:v>日用品</x:v>
      </x:c>
      <x:c r="D317" s="24" t="str">
        <x:v>Cluster 2</x:v>
      </x:c>
      <x:c r="E317" s="26" t="n">
        <x:v>14</x:v>
      </x:c>
      <x:c r="F317" s="26" t="n">
        <x:v>8</x:v>
      </x:c>
      <x:c r="G317" s="24" t="str">
        <x:v>大</x:v>
      </x:c>
      <x:c r="H317" s="24" t="str">
        <x:v>輕</x:v>
      </x:c>
      <x:c r="I317" s="24" t="str">
        <x:v>否</x:v>
      </x:c>
      <x:c r="J317" s="24" t="str">
        <x:v>否</x:v>
      </x:c>
      <x:c r="K317" s="24" t="str">
        <x:v>否</x:v>
      </x:c>
      <x:c r="L317" s="24" t="str"/>
      <x:c r="M317" s="28" t="n">
        <x:v>1</x:v>
      </x:c>
      <x:c r="N317" s="26" t="n">
        <x:v>66</x:v>
      </x:c>
      <x:c r="O317" s="26" t="n">
        <x:v>18</x:v>
      </x:c>
      <x:c r="P317" s="24" t="str">
        <x:v>是</x:v>
      </x:c>
      <x:c r="Q317" s="24" t="str">
        <x:v>1區</x:v>
      </x:c>
      <x:c r="R317" s="26" t="n">
        <x:v>23</x:v>
      </x:c>
      <x:c r="S317" s="24" t="str">
        <x:v>低頻、體積大</x:v>
      </x:c>
    </x:row>
    <x:row r="318">
      <x:c r="A318" s="24" t="str">
        <x:v>PX0314</x:v>
      </x:c>
      <x:c r="B318" s="24" t="str">
        <x:v>捲筒衛生紙-家庭號</x:v>
      </x:c>
      <x:c r="C318" s="24" t="str">
        <x:v>紙品類</x:v>
      </x:c>
      <x:c r="D318" s="24" t="str">
        <x:v>Cluster 2</x:v>
      </x:c>
      <x:c r="E318" s="26" t="n">
        <x:v>63</x:v>
      </x:c>
      <x:c r="F318" s="26" t="n">
        <x:v>31</x:v>
      </x:c>
      <x:c r="G318" s="24" t="str">
        <x:v>大</x:v>
      </x:c>
      <x:c r="H318" s="24" t="str">
        <x:v>重</x:v>
      </x:c>
      <x:c r="I318" s="24" t="str">
        <x:v>否</x:v>
      </x:c>
      <x:c r="J318" s="24" t="str">
        <x:v>否</x:v>
      </x:c>
      <x:c r="K318" s="24" t="str">
        <x:v>否</x:v>
      </x:c>
      <x:c r="L318" s="24" t="str"/>
      <x:c r="M318" s="28" t="n">
        <x:v>1</x:v>
      </x:c>
      <x:c r="N318" s="26" t="n">
        <x:v>173</x:v>
      </x:c>
      <x:c r="O318" s="26" t="n">
        <x:v>30</x:v>
      </x:c>
      <x:c r="P318" s="24" t="str">
        <x:v>是</x:v>
      </x:c>
      <x:c r="Q318" s="24" t="str">
        <x:v>彈性區</x:v>
      </x:c>
      <x:c r="R318" s="26" t="n">
        <x:v>65</x:v>
      </x:c>
      <x:c r="S318" s="24" t="str">
        <x:v>中頻、體積大、重物</x:v>
      </x:c>
    </x:row>
    <x:row r="319">
      <x:c r="A319" s="24" t="str">
        <x:v>PX0315</x:v>
      </x:c>
      <x:c r="B319" s="24" t="str">
        <x:v>麥片箱-小包裝</x:v>
      </x:c>
      <x:c r="C319" s="24" t="str">
        <x:v>食品類</x:v>
      </x:c>
      <x:c r="D319" s="24" t="str">
        <x:v>Cluster 4</x:v>
      </x:c>
      <x:c r="E319" s="26" t="n">
        <x:v>18</x:v>
      </x:c>
      <x:c r="F319" s="26" t="n">
        <x:v>22</x:v>
      </x:c>
      <x:c r="G319" s="24" t="str">
        <x:v>中</x:v>
      </x:c>
      <x:c r="H319" s="24" t="str">
        <x:v>中</x:v>
      </x:c>
      <x:c r="I319" s="24" t="str">
        <x:v>否</x:v>
      </x:c>
      <x:c r="J319" s="24" t="str">
        <x:v>否</x:v>
      </x:c>
      <x:c r="K319" s="24" t="str">
        <x:v>是</x:v>
      </x:c>
      <x:c r="L319" s="24" t="str">
        <x:v>旺季</x:v>
      </x:c>
      <x:c r="M319" s="28" t="n">
        <x:v>2.5</x:v>
      </x:c>
      <x:c r="N319" s="26" t="n">
        <x:v>88</x:v>
      </x:c>
      <x:c r="O319" s="26" t="str"/>
      <x:c r="P319" s="24" t="str">
        <x:v>否</x:v>
      </x:c>
      <x:c r="Q319" s="24" t="str">
        <x:v>1區</x:v>
      </x:c>
      <x:c r="R319" s="26" t="n">
        <x:v>44</x:v>
      </x:c>
      <x:c r="S319" s="24" t="str">
        <x:v>低頻、季節性</x:v>
      </x:c>
    </x:row>
    <x:row r="320">
      <x:c r="A320" s="24" t="str">
        <x:v>PX0316</x:v>
      </x:c>
      <x:c r="B320" s="24" t="str">
        <x:v>鋁箔紙-促銷組</x:v>
      </x:c>
      <x:c r="C320" s="24" t="str">
        <x:v>家用品</x:v>
      </x:c>
      <x:c r="D320" s="24" t="str">
        <x:v>Cluster 5</x:v>
      </x:c>
      <x:c r="E320" s="26" t="n">
        <x:v>6</x:v>
      </x:c>
      <x:c r="F320" s="26" t="n">
        <x:v>4</x:v>
      </x:c>
      <x:c r="G320" s="24" t="str">
        <x:v>小</x:v>
      </x:c>
      <x:c r="H320" s="24" t="str">
        <x:v>輕</x:v>
      </x:c>
      <x:c r="I320" s="24" t="str">
        <x:v>否</x:v>
      </x:c>
      <x:c r="J320" s="24" t="str">
        <x:v>否</x:v>
      </x:c>
      <x:c r="K320" s="24" t="str">
        <x:v>否</x:v>
      </x:c>
      <x:c r="L320" s="24" t="str"/>
      <x:c r="M320" s="28" t="n">
        <x:v>1</x:v>
      </x:c>
      <x:c r="N320" s="26" t="n">
        <x:v>29</x:v>
      </x:c>
      <x:c r="O320" s="26" t="str"/>
      <x:c r="P320" s="24" t="str">
        <x:v>否</x:v>
      </x:c>
      <x:c r="Q320" s="24" t="str">
        <x:v>遠端區</x:v>
      </x:c>
      <x:c r="R320" s="26" t="n">
        <x:v>62</x:v>
      </x:c>
      <x:c r="S320" s="24" t="str">
        <x:v>低頻</x:v>
      </x:c>
    </x:row>
    <x:row r="321">
      <x:c r="A321" s="24" t="str">
        <x:v>PX0317</x:v>
      </x:c>
      <x:c r="B321" s="24" t="str">
        <x:v>年節禮盒組-家庭號</x:v>
      </x:c>
      <x:c r="C321" s="24" t="str">
        <x:v>季節商品</x:v>
      </x:c>
      <x:c r="D321" s="24" t="str">
        <x:v>Cluster 4</x:v>
      </x:c>
      <x:c r="E321" s="26" t="n">
        <x:v>27</x:v>
      </x:c>
      <x:c r="F321" s="26" t="n">
        <x:v>9</x:v>
      </x:c>
      <x:c r="G321" s="24" t="str">
        <x:v>大</x:v>
      </x:c>
      <x:c r="H321" s="24" t="str">
        <x:v>輕</x:v>
      </x:c>
      <x:c r="I321" s="24" t="str">
        <x:v>否</x:v>
      </x:c>
      <x:c r="J321" s="24" t="str">
        <x:v>是</x:v>
      </x:c>
      <x:c r="K321" s="24" t="str">
        <x:v>是</x:v>
      </x:c>
      <x:c r="L321" s="24" t="str">
        <x:v>1-2月</x:v>
      </x:c>
      <x:c r="M321" s="28" t="n">
        <x:v>2</x:v>
      </x:c>
      <x:c r="N321" s="26" t="n">
        <x:v>75</x:v>
      </x:c>
      <x:c r="O321" s="26" t="n">
        <x:v>30</x:v>
      </x:c>
      <x:c r="P321" s="24" t="str">
        <x:v>是</x:v>
      </x:c>
      <x:c r="Q321" s="24" t="str">
        <x:v>A區</x:v>
      </x:c>
      <x:c r="R321" s="26" t="n">
        <x:v>19</x:v>
      </x:c>
      <x:c r="S321" s="24" t="str">
        <x:v>低頻、體積大、易碎、季節性</x:v>
      </x:c>
    </x:row>
    <x:row r="322">
      <x:c r="A322" s="24" t="str">
        <x:v>PX0318</x:v>
      </x:c>
      <x:c r="B322" s="24" t="str">
        <x:v>寵物尿布墊-促銷組</x:v>
      </x:c>
      <x:c r="C322" s="24" t="str">
        <x:v>寵物用品</x:v>
      </x:c>
      <x:c r="D322" s="24" t="str">
        <x:v>Cluster 2</x:v>
      </x:c>
      <x:c r="E322" s="26" t="n">
        <x:v>50</x:v>
      </x:c>
      <x:c r="F322" s="26" t="n">
        <x:v>33</x:v>
      </x:c>
      <x:c r="G322" s="24" t="str">
        <x:v>大</x:v>
      </x:c>
      <x:c r="H322" s="24" t="str">
        <x:v>輕</x:v>
      </x:c>
      <x:c r="I322" s="24" t="str">
        <x:v>否</x:v>
      </x:c>
      <x:c r="J322" s="24" t="str">
        <x:v>否</x:v>
      </x:c>
      <x:c r="K322" s="24" t="str">
        <x:v>否</x:v>
      </x:c>
      <x:c r="L322" s="24" t="str"/>
      <x:c r="M322" s="28" t="n">
        <x:v>1</x:v>
      </x:c>
      <x:c r="N322" s="26" t="n">
        <x:v>231</x:v>
      </x:c>
      <x:c r="O322" s="26" t="n">
        <x:v>20</x:v>
      </x:c>
      <x:c r="P322" s="24" t="str">
        <x:v>是</x:v>
      </x:c>
      <x:c r="Q322" s="24" t="str">
        <x:v>1區</x:v>
      </x:c>
      <x:c r="R322" s="26" t="n">
        <x:v>20</x:v>
      </x:c>
      <x:c r="S322" s="24" t="str">
        <x:v>中頻、體積大</x:v>
      </x:c>
    </x:row>
    <x:row r="323">
      <x:c r="A323" s="24" t="str">
        <x:v>PX0319</x:v>
      </x:c>
      <x:c r="B323" s="24" t="str">
        <x:v>面紙箱-箱裝</x:v>
      </x:c>
      <x:c r="C323" s="24" t="str">
        <x:v>紙品類</x:v>
      </x:c>
      <x:c r="D323" s="24" t="str">
        <x:v>Cluster 5</x:v>
      </x:c>
      <x:c r="E323" s="26" t="n">
        <x:v>161</x:v>
      </x:c>
      <x:c r="F323" s="26" t="n">
        <x:v>61</x:v>
      </x:c>
      <x:c r="G323" s="24" t="str">
        <x:v>中</x:v>
      </x:c>
      <x:c r="H323" s="24" t="str">
        <x:v>中</x:v>
      </x:c>
      <x:c r="I323" s="24" t="str">
        <x:v>否</x:v>
      </x:c>
      <x:c r="J323" s="24" t="str">
        <x:v>否</x:v>
      </x:c>
      <x:c r="K323" s="24" t="str">
        <x:v>否</x:v>
      </x:c>
      <x:c r="L323" s="24" t="str"/>
      <x:c r="M323" s="28" t="n">
        <x:v>1</x:v>
      </x:c>
      <x:c r="N323" s="26" t="n">
        <x:v>475</x:v>
      </x:c>
      <x:c r="O323" s="26" t="n">
        <x:v>80</x:v>
      </x:c>
      <x:c r="P323" s="24" t="str">
        <x:v>是</x:v>
      </x:c>
      <x:c r="Q323" s="24" t="str">
        <x:v>遠端區</x:v>
      </x:c>
      <x:c r="R323" s="26" t="n">
        <x:v>58</x:v>
      </x:c>
      <x:c r="S323" s="24" t="str">
        <x:v>高頻</x:v>
      </x:c>
    </x:row>
    <x:row r="324">
      <x:c r="A324" s="24" t="str">
        <x:v>PX0320</x:v>
      </x:c>
      <x:c r="B324" s="24" t="str">
        <x:v>抽取式衛生紙-小包裝</x:v>
      </x:c>
      <x:c r="C324" s="24" t="str">
        <x:v>紙品類</x:v>
      </x:c>
      <x:c r="D324" s="24" t="str">
        <x:v>Cluster 2</x:v>
      </x:c>
      <x:c r="E324" s="26" t="n">
        <x:v>24</x:v>
      </x:c>
      <x:c r="F324" s="26" t="n">
        <x:v>12</x:v>
      </x:c>
      <x:c r="G324" s="24" t="str">
        <x:v>大</x:v>
      </x:c>
      <x:c r="H324" s="24" t="str">
        <x:v>輕</x:v>
      </x:c>
      <x:c r="I324" s="24" t="str">
        <x:v>否</x:v>
      </x:c>
      <x:c r="J324" s="24" t="str">
        <x:v>否</x:v>
      </x:c>
      <x:c r="K324" s="24" t="str">
        <x:v>否</x:v>
      </x:c>
      <x:c r="L324" s="24" t="str"/>
      <x:c r="M324" s="28" t="n">
        <x:v>1</x:v>
      </x:c>
      <x:c r="N324" s="26" t="n">
        <x:v>66</x:v>
      </x:c>
      <x:c r="O324" s="26" t="n">
        <x:v>24</x:v>
      </x:c>
      <x:c r="P324" s="24" t="str">
        <x:v>是</x:v>
      </x:c>
      <x:c r="Q324" s="24" t="str">
        <x:v>彈性區</x:v>
      </x:c>
      <x:c r="R324" s="26" t="n">
        <x:v>61</x:v>
      </x:c>
      <x:c r="S324" s="24" t="str">
        <x:v>低頻、體積大</x:v>
      </x:c>
    </x:row>
    <x:row r="325">
      <x:c r="A325" s="24" t="str">
        <x:v>PX0321</x:v>
      </x:c>
      <x:c r="B325" s="24" t="str">
        <x:v>牙膏組-促銷組</x:v>
      </x:c>
      <x:c r="C325" s="24" t="str">
        <x:v>日用品</x:v>
      </x:c>
      <x:c r="D325" s="24" t="str">
        <x:v>Cluster 5</x:v>
      </x:c>
      <x:c r="E325" s="26" t="n">
        <x:v>94</x:v>
      </x:c>
      <x:c r="F325" s="26" t="n">
        <x:v>51</x:v>
      </x:c>
      <x:c r="G325" s="24" t="str">
        <x:v>中</x:v>
      </x:c>
      <x:c r="H325" s="24" t="str">
        <x:v>中</x:v>
      </x:c>
      <x:c r="I325" s="24" t="str">
        <x:v>否</x:v>
      </x:c>
      <x:c r="J325" s="24" t="str">
        <x:v>否</x:v>
      </x:c>
      <x:c r="K325" s="24" t="str">
        <x:v>否</x:v>
      </x:c>
      <x:c r="L325" s="24" t="str"/>
      <x:c r="M325" s="28" t="n">
        <x:v>1</x:v>
      </x:c>
      <x:c r="N325" s="26" t="n">
        <x:v>463</x:v>
      </x:c>
      <x:c r="O325" s="26" t="n">
        <x:v>80</x:v>
      </x:c>
      <x:c r="P325" s="24" t="str">
        <x:v>是</x:v>
      </x:c>
      <x:c r="Q325" s="24" t="str">
        <x:v>K區</x:v>
      </x:c>
      <x:c r="R325" s="26" t="n">
        <x:v>46</x:v>
      </x:c>
      <x:c r="S325" s="24" t="str">
        <x:v>高頻</x:v>
      </x:c>
    </x:row>
    <x:row r="326">
      <x:c r="A326" s="24" t="str">
        <x:v>PX0322</x:v>
      </x:c>
      <x:c r="B326" s="24" t="str">
        <x:v>端午禮盒-補充包</x:v>
      </x:c>
      <x:c r="C326" s="24" t="str">
        <x:v>季節商品</x:v>
      </x:c>
      <x:c r="D326" s="24" t="str">
        <x:v>Cluster 4</x:v>
      </x:c>
      <x:c r="E326" s="26" t="n">
        <x:v>21</x:v>
      </x:c>
      <x:c r="F326" s="26" t="n">
        <x:v>19</x:v>
      </x:c>
      <x:c r="G326" s="24" t="str">
        <x:v>大</x:v>
      </x:c>
      <x:c r="H326" s="24" t="str">
        <x:v>輕</x:v>
      </x:c>
      <x:c r="I326" s="24" t="str">
        <x:v>否</x:v>
      </x:c>
      <x:c r="J326" s="24" t="str">
        <x:v>是</x:v>
      </x:c>
      <x:c r="K326" s="24" t="str">
        <x:v>是</x:v>
      </x:c>
      <x:c r="L326" s="24" t="str">
        <x:v>1-2月</x:v>
      </x:c>
      <x:c r="M326" s="28" t="n">
        <x:v>2.5</x:v>
      </x:c>
      <x:c r="N326" s="26" t="n">
        <x:v>89</x:v>
      </x:c>
      <x:c r="O326" s="26" t="n">
        <x:v>30</x:v>
      </x:c>
      <x:c r="P326" s="24" t="str">
        <x:v>是</x:v>
      </x:c>
      <x:c r="Q326" s="24" t="str">
        <x:v>3區</x:v>
      </x:c>
      <x:c r="R326" s="26" t="n">
        <x:v>30</x:v>
      </x:c>
      <x:c r="S326" s="24" t="str">
        <x:v>低頻、體積大、易碎、季節性</x:v>
      </x:c>
    </x:row>
    <x:row r="327">
      <x:c r="A327" s="24" t="str">
        <x:v>PX0323</x:v>
      </x:c>
      <x:c r="B327" s="24" t="str">
        <x:v>乾電池組-標準箱</x:v>
      </x:c>
      <x:c r="C327" s="24" t="str">
        <x:v>耗材類</x:v>
      </x:c>
      <x:c r="D327" s="24" t="str">
        <x:v>Cluster 5</x:v>
      </x:c>
      <x:c r="E327" s="26" t="n">
        <x:v>87</x:v>
      </x:c>
      <x:c r="F327" s="26" t="n">
        <x:v>45</x:v>
      </x:c>
      <x:c r="G327" s="24" t="str">
        <x:v>中</x:v>
      </x:c>
      <x:c r="H327" s="24" t="str">
        <x:v>中</x:v>
      </x:c>
      <x:c r="I327" s="24" t="str">
        <x:v>否</x:v>
      </x:c>
      <x:c r="J327" s="24" t="str">
        <x:v>否</x:v>
      </x:c>
      <x:c r="K327" s="24" t="str">
        <x:v>否</x:v>
      </x:c>
      <x:c r="L327" s="24" t="str"/>
      <x:c r="M327" s="28" t="n">
        <x:v>1</x:v>
      </x:c>
      <x:c r="N327" s="26" t="n">
        <x:v>409</x:v>
      </x:c>
      <x:c r="O327" s="26" t="n">
        <x:v>72</x:v>
      </x:c>
      <x:c r="P327" s="24" t="str">
        <x:v>是</x:v>
      </x:c>
      <x:c r="Q327" s="24" t="str">
        <x:v>3區</x:v>
      </x:c>
      <x:c r="R327" s="26" t="n">
        <x:v>31</x:v>
      </x:c>
      <x:c r="S327" s="24" t="str">
        <x:v>高頻</x:v>
      </x:c>
    </x:row>
    <x:row r="328">
      <x:c r="A328" s="24" t="str">
        <x:v>PX0324</x:v>
      </x:c>
      <x:c r="B328" s="24" t="str">
        <x:v>尿布箱-小包裝</x:v>
      </x:c>
      <x:c r="C328" s="24" t="str">
        <x:v>日用品</x:v>
      </x:c>
      <x:c r="D328" s="24" t="str">
        <x:v>Cluster 2</x:v>
      </x:c>
      <x:c r="E328" s="26" t="n">
        <x:v>10</x:v>
      </x:c>
      <x:c r="F328" s="26" t="n">
        <x:v>4</x:v>
      </x:c>
      <x:c r="G328" s="24" t="str">
        <x:v>大</x:v>
      </x:c>
      <x:c r="H328" s="24" t="str">
        <x:v>輕</x:v>
      </x:c>
      <x:c r="I328" s="24" t="str">
        <x:v>否</x:v>
      </x:c>
      <x:c r="J328" s="24" t="str">
        <x:v>否</x:v>
      </x:c>
      <x:c r="K328" s="24" t="str">
        <x:v>否</x:v>
      </x:c>
      <x:c r="L328" s="24" t="str"/>
      <x:c r="M328" s="28" t="n">
        <x:v>1.1</x:v>
      </x:c>
      <x:c r="N328" s="26" t="n">
        <x:v>44</x:v>
      </x:c>
      <x:c r="O328" s="26" t="n">
        <x:v>24</x:v>
      </x:c>
      <x:c r="P328" s="24" t="str">
        <x:v>是</x:v>
      </x:c>
      <x:c r="Q328" s="24" t="str">
        <x:v>1區</x:v>
      </x:c>
      <x:c r="R328" s="26" t="n">
        <x:v>25</x:v>
      </x:c>
      <x:c r="S328" s="24" t="str">
        <x:v>低頻、體積大</x:v>
      </x:c>
    </x:row>
    <x:row r="329">
      <x:c r="A329" s="24" t="str">
        <x:v>PX0325</x:v>
      </x:c>
      <x:c r="B329" s="24" t="str">
        <x:v>洗髮精-補充包</x:v>
      </x:c>
      <x:c r="C329" s="24" t="str">
        <x:v>日用品</x:v>
      </x:c>
      <x:c r="D329" s="24" t="str">
        <x:v>Cluster 1</x:v>
      </x:c>
      <x:c r="E329" s="26" t="n">
        <x:v>39</x:v>
      </x:c>
      <x:c r="F329" s="26" t="n">
        <x:v>27</x:v>
      </x:c>
      <x:c r="G329" s="24" t="str">
        <x:v>小</x:v>
      </x:c>
      <x:c r="H329" s="24" t="str">
        <x:v>中</x:v>
      </x:c>
      <x:c r="I329" s="24" t="str">
        <x:v>是</x:v>
      </x:c>
      <x:c r="J329" s="24" t="str">
        <x:v>否</x:v>
      </x:c>
      <x:c r="K329" s="24" t="str">
        <x:v>否</x:v>
      </x:c>
      <x:c r="L329" s="24" t="str"/>
      <x:c r="M329" s="28" t="n">
        <x:v>1.1</x:v>
      </x:c>
      <x:c r="N329" s="26" t="n">
        <x:v>114</x:v>
      </x:c>
      <x:c r="O329" s="26" t="n">
        <x:v>60</x:v>
      </x:c>
      <x:c r="P329" s="24" t="str">
        <x:v>是</x:v>
      </x:c>
      <x:c r="Q329" s="24" t="str">
        <x:v>彈性區</x:v>
      </x:c>
      <x:c r="R329" s="26" t="n">
        <x:v>49</x:v>
      </x:c>
      <x:c r="S329" s="24" t="str">
        <x:v>中頻、液體</x:v>
      </x:c>
    </x:row>
    <x:row r="330">
      <x:c r="A330" s="24" t="str">
        <x:v>PX0326</x:v>
      </x:c>
      <x:c r="B330" s="24" t="str">
        <x:v>捲筒衛生紙-標準箱</x:v>
      </x:c>
      <x:c r="C330" s="24" t="str">
        <x:v>紙品類</x:v>
      </x:c>
      <x:c r="D330" s="24" t="str">
        <x:v>Cluster 2</x:v>
      </x:c>
      <x:c r="E330" s="26" t="n">
        <x:v>28</x:v>
      </x:c>
      <x:c r="F330" s="26" t="n">
        <x:v>17</x:v>
      </x:c>
      <x:c r="G330" s="24" t="str">
        <x:v>大</x:v>
      </x:c>
      <x:c r="H330" s="24" t="str">
        <x:v>中</x:v>
      </x:c>
      <x:c r="I330" s="24" t="str">
        <x:v>否</x:v>
      </x:c>
      <x:c r="J330" s="24" t="str">
        <x:v>否</x:v>
      </x:c>
      <x:c r="K330" s="24" t="str">
        <x:v>否</x:v>
      </x:c>
      <x:c r="L330" s="24" t="str"/>
      <x:c r="M330" s="28" t="n">
        <x:v>1</x:v>
      </x:c>
      <x:c r="N330" s="26" t="n">
        <x:v>117</x:v>
      </x:c>
      <x:c r="O330" s="26" t="n">
        <x:v>30</x:v>
      </x:c>
      <x:c r="P330" s="24" t="str">
        <x:v>是</x:v>
      </x:c>
      <x:c r="Q330" s="24" t="str">
        <x:v>3區</x:v>
      </x:c>
      <x:c r="R330" s="26" t="n">
        <x:v>34</x:v>
      </x:c>
      <x:c r="S330" s="24" t="str">
        <x:v>低頻、體積大</x:v>
      </x:c>
    </x:row>
    <x:row r="331">
      <x:c r="A331" s="24" t="str">
        <x:v>PX0327</x:v>
      </x:c>
      <x:c r="B331" s="24" t="str">
        <x:v>鋁箔紙-標準箱</x:v>
      </x:c>
      <x:c r="C331" s="24" t="str">
        <x:v>家用品</x:v>
      </x:c>
      <x:c r="D331" s="24" t="str">
        <x:v>Cluster 4</x:v>
      </x:c>
      <x:c r="E331" s="26" t="n">
        <x:v>44</x:v>
      </x:c>
      <x:c r="F331" s="26" t="n">
        <x:v>22</x:v>
      </x:c>
      <x:c r="G331" s="24" t="str">
        <x:v>小</x:v>
      </x:c>
      <x:c r="H331" s="24" t="str">
        <x:v>中</x:v>
      </x:c>
      <x:c r="I331" s="24" t="str">
        <x:v>否</x:v>
      </x:c>
      <x:c r="J331" s="24" t="str">
        <x:v>否</x:v>
      </x:c>
      <x:c r="K331" s="24" t="str">
        <x:v>是</x:v>
      </x:c>
      <x:c r="L331" s="24" t="str">
        <x:v>旺季</x:v>
      </x:c>
      <x:c r="M331" s="28" t="n">
        <x:v>2</x:v>
      </x:c>
      <x:c r="N331" s="26" t="n">
        <x:v>161</x:v>
      </x:c>
      <x:c r="O331" s="26" t="str"/>
      <x:c r="P331" s="24" t="str">
        <x:v>否</x:v>
      </x:c>
      <x:c r="Q331" s="24" t="str">
        <x:v>1區</x:v>
      </x:c>
      <x:c r="R331" s="26" t="n">
        <x:v>36</x:v>
      </x:c>
      <x:c r="S331" s="24" t="str">
        <x:v>中頻、季節性</x:v>
      </x:c>
    </x:row>
    <x:row r="332">
      <x:c r="A332" s="24" t="str">
        <x:v>PX0328</x:v>
      </x:c>
      <x:c r="B332" s="24" t="str">
        <x:v>抹布組-小包裝</x:v>
      </x:c>
      <x:c r="C332" s="24" t="str">
        <x:v>家用品</x:v>
      </x:c>
      <x:c r="D332" s="24" t="str">
        <x:v>Cluster 5</x:v>
      </x:c>
      <x:c r="E332" s="26" t="n">
        <x:v>76</x:v>
      </x:c>
      <x:c r="F332" s="26" t="n">
        <x:v>54</x:v>
      </x:c>
      <x:c r="G332" s="24" t="str">
        <x:v>中</x:v>
      </x:c>
      <x:c r="H332" s="24" t="str">
        <x:v>中</x:v>
      </x:c>
      <x:c r="I332" s="24" t="str">
        <x:v>否</x:v>
      </x:c>
      <x:c r="J332" s="24" t="str">
        <x:v>否</x:v>
      </x:c>
      <x:c r="K332" s="24" t="str">
        <x:v>否</x:v>
      </x:c>
      <x:c r="L332" s="24" t="str"/>
      <x:c r="M332" s="28" t="n">
        <x:v>1</x:v>
      </x:c>
      <x:c r="N332" s="26" t="n">
        <x:v>195</x:v>
      </x:c>
      <x:c r="O332" s="26" t="n">
        <x:v>48</x:v>
      </x:c>
      <x:c r="P332" s="24" t="str">
        <x:v>是</x:v>
      </x:c>
      <x:c r="Q332" s="24" t="str">
        <x:v>遠端區</x:v>
      </x:c>
      <x:c r="R332" s="26" t="n">
        <x:v>71</x:v>
      </x:c>
      <x:c r="S332" s="24" t="str">
        <x:v>中頻</x:v>
      </x:c>
    </x:row>
    <x:row r="333">
      <x:c r="A333" s="24" t="str">
        <x:v>PX0329</x:v>
      </x:c>
      <x:c r="B333" s="24" t="str">
        <x:v>乾電池組-標準箱</x:v>
      </x:c>
      <x:c r="C333" s="24" t="str">
        <x:v>耗材類</x:v>
      </x:c>
      <x:c r="D333" s="24" t="str">
        <x:v>Cluster 5</x:v>
      </x:c>
      <x:c r="E333" s="26" t="n">
        <x:v>75</x:v>
      </x:c>
      <x:c r="F333" s="26" t="n">
        <x:v>48</x:v>
      </x:c>
      <x:c r="G333" s="24" t="str">
        <x:v>小</x:v>
      </x:c>
      <x:c r="H333" s="24" t="str">
        <x:v>輕</x:v>
      </x:c>
      <x:c r="I333" s="24" t="str">
        <x:v>否</x:v>
      </x:c>
      <x:c r="J333" s="24" t="str">
        <x:v>否</x:v>
      </x:c>
      <x:c r="K333" s="24" t="str">
        <x:v>否</x:v>
      </x:c>
      <x:c r="L333" s="24" t="str"/>
      <x:c r="M333" s="28" t="n">
        <x:v>1</x:v>
      </x:c>
      <x:c r="N333" s="26" t="n">
        <x:v>191</x:v>
      </x:c>
      <x:c r="O333" s="26" t="n">
        <x:v>80</x:v>
      </x:c>
      <x:c r="P333" s="24" t="str">
        <x:v>是</x:v>
      </x:c>
      <x:c r="Q333" s="24" t="str">
        <x:v>K區</x:v>
      </x:c>
      <x:c r="R333" s="26" t="n">
        <x:v>52</x:v>
      </x:c>
      <x:c r="S333" s="24" t="str">
        <x:v>中頻</x:v>
      </x:c>
    </x:row>
    <x:row r="334">
      <x:c r="A334" s="24" t="str">
        <x:v>PX0330</x:v>
      </x:c>
      <x:c r="B334" s="24" t="str">
        <x:v>果汁飲料整箱-促銷組</x:v>
      </x:c>
      <x:c r="C334" s="24" t="str">
        <x:v>飲品類</x:v>
      </x:c>
      <x:c r="D334" s="24" t="str">
        <x:v>Cluster 2</x:v>
      </x:c>
      <x:c r="E334" s="26" t="n">
        <x:v>88</x:v>
      </x:c>
      <x:c r="F334" s="26" t="n">
        <x:v>40</x:v>
      </x:c>
      <x:c r="G334" s="24" t="str">
        <x:v>中</x:v>
      </x:c>
      <x:c r="H334" s="24" t="str">
        <x:v>重</x:v>
      </x:c>
      <x:c r="I334" s="24" t="str">
        <x:v>是</x:v>
      </x:c>
      <x:c r="J334" s="24" t="str">
        <x:v>否</x:v>
      </x:c>
      <x:c r="K334" s="24" t="str">
        <x:v>否</x:v>
      </x:c>
      <x:c r="L334" s="24" t="str"/>
      <x:c r="M334" s="28" t="n">
        <x:v>1.3</x:v>
      </x:c>
      <x:c r="N334" s="26" t="n">
        <x:v>219</x:v>
      </x:c>
      <x:c r="O334" s="26" t="n">
        <x:v>48</x:v>
      </x:c>
      <x:c r="P334" s="24" t="str">
        <x:v>是</x:v>
      </x:c>
      <x:c r="Q334" s="24" t="str">
        <x:v>K區</x:v>
      </x:c>
      <x:c r="R334" s="26" t="n">
        <x:v>55</x:v>
      </x:c>
      <x:c r="S334" s="24" t="str">
        <x:v>高頻、重物、液體</x:v>
      </x:c>
    </x:row>
    <x:row r="335">
      <x:c r="A335" s="24" t="str">
        <x:v>PX0331</x:v>
      </x:c>
      <x:c r="B335" s="24" t="str">
        <x:v>口罩盒-箱裝</x:v>
      </x:c>
      <x:c r="C335" s="24" t="str">
        <x:v>日用品</x:v>
      </x:c>
      <x:c r="D335" s="24" t="str">
        <x:v>Cluster 2</x:v>
      </x:c>
      <x:c r="E335" s="26" t="n">
        <x:v>108</x:v>
      </x:c>
      <x:c r="F335" s="26" t="n">
        <x:v>74</x:v>
      </x:c>
      <x:c r="G335" s="24" t="str">
        <x:v>大</x:v>
      </x:c>
      <x:c r="H335" s="24" t="str">
        <x:v>輕</x:v>
      </x:c>
      <x:c r="I335" s="24" t="str">
        <x:v>否</x:v>
      </x:c>
      <x:c r="J335" s="24" t="str">
        <x:v>否</x:v>
      </x:c>
      <x:c r="K335" s="24" t="str">
        <x:v>否</x:v>
      </x:c>
      <x:c r="L335" s="24" t="str"/>
      <x:c r="M335" s="28" t="n">
        <x:v>1</x:v>
      </x:c>
      <x:c r="N335" s="26" t="n">
        <x:v>253</x:v>
      </x:c>
      <x:c r="O335" s="26" t="n">
        <x:v>30</x:v>
      </x:c>
      <x:c r="P335" s="24" t="str">
        <x:v>是</x:v>
      </x:c>
      <x:c r="Q335" s="24" t="str">
        <x:v>3區</x:v>
      </x:c>
      <x:c r="R335" s="26" t="n">
        <x:v>49</x:v>
      </x:c>
      <x:c r="S335" s="24" t="str">
        <x:v>高頻、體積大</x:v>
      </x:c>
    </x:row>
    <x:row r="336">
      <x:c r="A336" s="24" t="str">
        <x:v>PX0332</x:v>
      </x:c>
      <x:c r="B336" s="24" t="str">
        <x:v>備用耗材-標準箱</x:v>
      </x:c>
      <x:c r="C336" s="24" t="str">
        <x:v>耗材類</x:v>
      </x:c>
      <x:c r="D336" s="24" t="str">
        <x:v>Cluster 5</x:v>
      </x:c>
      <x:c r="E336" s="26" t="n">
        <x:v>42</x:v>
      </x:c>
      <x:c r="F336" s="26" t="n">
        <x:v>25</x:v>
      </x:c>
      <x:c r="G336" s="24" t="str">
        <x:v>小</x:v>
      </x:c>
      <x:c r="H336" s="24" t="str">
        <x:v>中</x:v>
      </x:c>
      <x:c r="I336" s="24" t="str">
        <x:v>否</x:v>
      </x:c>
      <x:c r="J336" s="24" t="str">
        <x:v>否</x:v>
      </x:c>
      <x:c r="K336" s="24" t="str">
        <x:v>否</x:v>
      </x:c>
      <x:c r="L336" s="24" t="str"/>
      <x:c r="M336" s="28" t="n">
        <x:v>1</x:v>
      </x:c>
      <x:c r="N336" s="26" t="n">
        <x:v>139</x:v>
      </x:c>
      <x:c r="O336" s="26" t="str"/>
      <x:c r="P336" s="24" t="str">
        <x:v>否</x:v>
      </x:c>
      <x:c r="Q336" s="24" t="str">
        <x:v>3區</x:v>
      </x:c>
      <x:c r="R336" s="26" t="n">
        <x:v>35</x:v>
      </x:c>
      <x:c r="S336" s="24" t="str">
        <x:v>中頻</x:v>
      </x:c>
    </x:row>
    <x:row r="337">
      <x:c r="A337" s="24" t="str">
        <x:v>PX0333</x:v>
      </x:c>
      <x:c r="B337" s="24" t="str">
        <x:v>茶飲料整箱-箱裝</x:v>
      </x:c>
      <x:c r="C337" s="24" t="str">
        <x:v>飲品類</x:v>
      </x:c>
      <x:c r="D337" s="24" t="str">
        <x:v>Cluster 1</x:v>
      </x:c>
      <x:c r="E337" s="26" t="n">
        <x:v>32</x:v>
      </x:c>
      <x:c r="F337" s="26" t="n">
        <x:v>18</x:v>
      </x:c>
      <x:c r="G337" s="24" t="str">
        <x:v>中</x:v>
      </x:c>
      <x:c r="H337" s="24" t="str">
        <x:v>重</x:v>
      </x:c>
      <x:c r="I337" s="24" t="str">
        <x:v>是</x:v>
      </x:c>
      <x:c r="J337" s="24" t="str">
        <x:v>否</x:v>
      </x:c>
      <x:c r="K337" s="24" t="str">
        <x:v>否</x:v>
      </x:c>
      <x:c r="L337" s="24" t="str"/>
      <x:c r="M337" s="28" t="n">
        <x:v>1.3</x:v>
      </x:c>
      <x:c r="N337" s="26" t="n">
        <x:v>111</x:v>
      </x:c>
      <x:c r="O337" s="26" t="n">
        <x:v>36</x:v>
      </x:c>
      <x:c r="P337" s="24" t="str">
        <x:v>是</x:v>
      </x:c>
      <x:c r="Q337" s="24" t="str">
        <x:v>1區</x:v>
      </x:c>
      <x:c r="R337" s="26" t="n">
        <x:v>23</x:v>
      </x:c>
      <x:c r="S337" s="24" t="str">
        <x:v>低頻、重物、液體</x:v>
      </x:c>
    </x:row>
    <x:row r="338">
      <x:c r="A338" s="24" t="str">
        <x:v>PX0334</x:v>
      </x:c>
      <x:c r="B338" s="24" t="str">
        <x:v>果汁飲料整箱-促銷組</x:v>
      </x:c>
      <x:c r="C338" s="24" t="str">
        <x:v>飲品類</x:v>
      </x:c>
      <x:c r="D338" s="24" t="str">
        <x:v>Cluster 2</x:v>
      </x:c>
      <x:c r="E338" s="26" t="n">
        <x:v>68</x:v>
      </x:c>
      <x:c r="F338" s="26" t="n">
        <x:v>30</x:v>
      </x:c>
      <x:c r="G338" s="24" t="str">
        <x:v>中</x:v>
      </x:c>
      <x:c r="H338" s="24" t="str">
        <x:v>重</x:v>
      </x:c>
      <x:c r="I338" s="24" t="str">
        <x:v>是</x:v>
      </x:c>
      <x:c r="J338" s="24" t="str">
        <x:v>否</x:v>
      </x:c>
      <x:c r="K338" s="24" t="str">
        <x:v>否</x:v>
      </x:c>
      <x:c r="L338" s="24" t="str"/>
      <x:c r="M338" s="28" t="n">
        <x:v>1.2</x:v>
      </x:c>
      <x:c r="N338" s="26" t="n">
        <x:v>207</x:v>
      </x:c>
      <x:c r="O338" s="26" t="n">
        <x:v>36</x:v>
      </x:c>
      <x:c r="P338" s="24" t="str">
        <x:v>是</x:v>
      </x:c>
      <x:c r="Q338" s="24" t="str">
        <x:v>彈性區</x:v>
      </x:c>
      <x:c r="R338" s="26" t="n">
        <x:v>61</x:v>
      </x:c>
      <x:c r="S338" s="24" t="str">
        <x:v>中頻、重物、液體</x:v>
      </x:c>
    </x:row>
    <x:row r="339">
      <x:c r="A339" s="24" t="str">
        <x:v>PX0335</x:v>
      </x:c>
      <x:c r="B339" s="24" t="str">
        <x:v>罐頭食品-小包裝</x:v>
      </x:c>
      <x:c r="C339" s="24" t="str">
        <x:v>食品類</x:v>
      </x:c>
      <x:c r="D339" s="24" t="str">
        <x:v>Cluster 5</x:v>
      </x:c>
      <x:c r="E339" s="26" t="n">
        <x:v>46</x:v>
      </x:c>
      <x:c r="F339" s="26" t="n">
        <x:v>27</x:v>
      </x:c>
      <x:c r="G339" s="24" t="str">
        <x:v>中</x:v>
      </x:c>
      <x:c r="H339" s="24" t="str">
        <x:v>中</x:v>
      </x:c>
      <x:c r="I339" s="24" t="str">
        <x:v>否</x:v>
      </x:c>
      <x:c r="J339" s="24" t="str">
        <x:v>否</x:v>
      </x:c>
      <x:c r="K339" s="24" t="str">
        <x:v>否</x:v>
      </x:c>
      <x:c r="L339" s="24" t="str"/>
      <x:c r="M339" s="28" t="n">
        <x:v>1</x:v>
      </x:c>
      <x:c r="N339" s="26" t="n">
        <x:v>116</x:v>
      </x:c>
      <x:c r="O339" s="26" t="str"/>
      <x:c r="P339" s="24" t="str">
        <x:v>否</x:v>
      </x:c>
      <x:c r="Q339" s="24" t="str">
        <x:v>K區</x:v>
      </x:c>
      <x:c r="R339" s="26" t="n">
        <x:v>46</x:v>
      </x:c>
      <x:c r="S339" s="24" t="str">
        <x:v>中頻</x:v>
      </x:c>
    </x:row>
    <x:row r="340">
      <x:c r="A340" s="24" t="str">
        <x:v>PX0336</x:v>
      </x:c>
      <x:c r="B340" s="24" t="str">
        <x:v>衛生棉組-家庭號</x:v>
      </x:c>
      <x:c r="C340" s="24" t="str">
        <x:v>日用品</x:v>
      </x:c>
      <x:c r="D340" s="24" t="str">
        <x:v>Cluster 2</x:v>
      </x:c>
      <x:c r="E340" s="26" t="n">
        <x:v>75</x:v>
      </x:c>
      <x:c r="F340" s="26" t="n">
        <x:v>53</x:v>
      </x:c>
      <x:c r="G340" s="24" t="str">
        <x:v>大</x:v>
      </x:c>
      <x:c r="H340" s="24" t="str">
        <x:v>輕</x:v>
      </x:c>
      <x:c r="I340" s="24" t="str">
        <x:v>否</x:v>
      </x:c>
      <x:c r="J340" s="24" t="str">
        <x:v>否</x:v>
      </x:c>
      <x:c r="K340" s="24" t="str">
        <x:v>否</x:v>
      </x:c>
      <x:c r="L340" s="24" t="str"/>
      <x:c r="M340" s="28" t="n">
        <x:v>1.1</x:v>
      </x:c>
      <x:c r="N340" s="26" t="n">
        <x:v>264</x:v>
      </x:c>
      <x:c r="O340" s="26" t="n">
        <x:v>24</x:v>
      </x:c>
      <x:c r="P340" s="24" t="str">
        <x:v>是</x:v>
      </x:c>
      <x:c r="Q340" s="24" t="str">
        <x:v>彈性區</x:v>
      </x:c>
      <x:c r="R340" s="26" t="n">
        <x:v>64</x:v>
      </x:c>
      <x:c r="S340" s="24" t="str">
        <x:v>中頻、體積大</x:v>
      </x:c>
    </x:row>
    <x:row r="341">
      <x:c r="A341" s="24" t="str">
        <x:v>PX0337</x:v>
      </x:c>
      <x:c r="B341" s="24" t="str">
        <x:v>尿布箱-小包裝</x:v>
      </x:c>
      <x:c r="C341" s="24" t="str">
        <x:v>日用品</x:v>
      </x:c>
      <x:c r="D341" s="24" t="str">
        <x:v>Cluster 2</x:v>
      </x:c>
      <x:c r="E341" s="26" t="n">
        <x:v>74</x:v>
      </x:c>
      <x:c r="F341" s="26" t="n">
        <x:v>48</x:v>
      </x:c>
      <x:c r="G341" s="24" t="str">
        <x:v>大</x:v>
      </x:c>
      <x:c r="H341" s="24" t="str">
        <x:v>重</x:v>
      </x:c>
      <x:c r="I341" s="24" t="str">
        <x:v>否</x:v>
      </x:c>
      <x:c r="J341" s="24" t="str">
        <x:v>否</x:v>
      </x:c>
      <x:c r="K341" s="24" t="str">
        <x:v>否</x:v>
      </x:c>
      <x:c r="L341" s="24" t="str"/>
      <x:c r="M341" s="28" t="n">
        <x:v>1.1</x:v>
      </x:c>
      <x:c r="N341" s="26" t="n">
        <x:v>345</x:v>
      </x:c>
      <x:c r="O341" s="26" t="n">
        <x:v>20</x:v>
      </x:c>
      <x:c r="P341" s="24" t="str">
        <x:v>是</x:v>
      </x:c>
      <x:c r="Q341" s="24" t="str">
        <x:v>3區</x:v>
      </x:c>
      <x:c r="R341" s="26" t="n">
        <x:v>41</x:v>
      </x:c>
      <x:c r="S341" s="24" t="str">
        <x:v>中頻、體積大、重物</x:v>
      </x:c>
    </x:row>
    <x:row r="342">
      <x:c r="A342" s="24" t="str">
        <x:v>PX0338</x:v>
      </x:c>
      <x:c r="B342" s="24" t="str">
        <x:v>抹布組-小包裝</x:v>
      </x:c>
      <x:c r="C342" s="24" t="str">
        <x:v>家用品</x:v>
      </x:c>
      <x:c r="D342" s="24" t="str">
        <x:v>Cluster 2</x:v>
      </x:c>
      <x:c r="E342" s="26" t="n">
        <x:v>93</x:v>
      </x:c>
      <x:c r="F342" s="26" t="n">
        <x:v>46</x:v>
      </x:c>
      <x:c r="G342" s="24" t="str">
        <x:v>大</x:v>
      </x:c>
      <x:c r="H342" s="24" t="str">
        <x:v>輕</x:v>
      </x:c>
      <x:c r="I342" s="24" t="str">
        <x:v>否</x:v>
      </x:c>
      <x:c r="J342" s="24" t="str">
        <x:v>否</x:v>
      </x:c>
      <x:c r="K342" s="24" t="str">
        <x:v>否</x:v>
      </x:c>
      <x:c r="L342" s="24" t="str"/>
      <x:c r="M342" s="28" t="n">
        <x:v>1.1</x:v>
      </x:c>
      <x:c r="N342" s="26" t="n">
        <x:v>464</x:v>
      </x:c>
      <x:c r="O342" s="26" t="n">
        <x:v>18</x:v>
      </x:c>
      <x:c r="P342" s="24" t="str">
        <x:v>是</x:v>
      </x:c>
      <x:c r="Q342" s="24" t="str">
        <x:v>K區</x:v>
      </x:c>
      <x:c r="R342" s="26" t="n">
        <x:v>44</x:v>
      </x:c>
      <x:c r="S342" s="24" t="str">
        <x:v>高頻、體積大</x:v>
      </x:c>
    </x:row>
    <x:row r="343">
      <x:c r="A343" s="24" t="str">
        <x:v>PX0339</x:v>
      </x:c>
      <x:c r="B343" s="24" t="str">
        <x:v>垃圾袋-家庭號</x:v>
      </x:c>
      <x:c r="C343" s="24" t="str">
        <x:v>日用品</x:v>
      </x:c>
      <x:c r="D343" s="24" t="str">
        <x:v>Cluster 5</x:v>
      </x:c>
      <x:c r="E343" s="26" t="n">
        <x:v>184</x:v>
      </x:c>
      <x:c r="F343" s="26" t="n">
        <x:v>73</x:v>
      </x:c>
      <x:c r="G343" s="24" t="str">
        <x:v>小</x:v>
      </x:c>
      <x:c r="H343" s="24" t="str">
        <x:v>中</x:v>
      </x:c>
      <x:c r="I343" s="24" t="str">
        <x:v>否</x:v>
      </x:c>
      <x:c r="J343" s="24" t="str">
        <x:v>否</x:v>
      </x:c>
      <x:c r="K343" s="24" t="str">
        <x:v>否</x:v>
      </x:c>
      <x:c r="L343" s="24" t="str"/>
      <x:c r="M343" s="28" t="n">
        <x:v>1.1</x:v>
      </x:c>
      <x:c r="N343" s="26" t="n">
        <x:v>791</x:v>
      </x:c>
      <x:c r="O343" s="26" t="n">
        <x:v>60</x:v>
      </x:c>
      <x:c r="P343" s="24" t="str">
        <x:v>是</x:v>
      </x:c>
      <x:c r="Q343" s="24" t="str">
        <x:v>A區</x:v>
      </x:c>
      <x:c r="R343" s="26" t="n">
        <x:v>37</x:v>
      </x:c>
      <x:c r="S343" s="24" t="str">
        <x:v>高頻</x:v>
      </x:c>
    </x:row>
    <x:row r="344">
      <x:c r="A344" s="24" t="str">
        <x:v>PX0340</x:v>
      </x:c>
      <x:c r="B344" s="24" t="str">
        <x:v>收納箱-箱裝</x:v>
      </x:c>
      <x:c r="C344" s="24" t="str">
        <x:v>家用品</x:v>
      </x:c>
      <x:c r="D344" s="24" t="str">
        <x:v>Cluster 2</x:v>
      </x:c>
      <x:c r="E344" s="26" t="n">
        <x:v>53</x:v>
      </x:c>
      <x:c r="F344" s="26" t="n">
        <x:v>30</x:v>
      </x:c>
      <x:c r="G344" s="24" t="str">
        <x:v>大</x:v>
      </x:c>
      <x:c r="H344" s="24" t="str">
        <x:v>輕</x:v>
      </x:c>
      <x:c r="I344" s="24" t="str">
        <x:v>否</x:v>
      </x:c>
      <x:c r="J344" s="24" t="str">
        <x:v>否</x:v>
      </x:c>
      <x:c r="K344" s="24" t="str">
        <x:v>否</x:v>
      </x:c>
      <x:c r="L344" s="24" t="str"/>
      <x:c r="M344" s="28" t="n">
        <x:v>1</x:v>
      </x:c>
      <x:c r="N344" s="26" t="n">
        <x:v>252</x:v>
      </x:c>
      <x:c r="O344" s="26" t="n">
        <x:v>20</x:v>
      </x:c>
      <x:c r="P344" s="24" t="str">
        <x:v>是</x:v>
      </x:c>
      <x:c r="Q344" s="24" t="str">
        <x:v>彈性區</x:v>
      </x:c>
      <x:c r="R344" s="26" t="n">
        <x:v>51</x:v>
      </x:c>
      <x:c r="S344" s="24" t="str">
        <x:v>中頻、體積大</x:v>
      </x:c>
    </x:row>
    <x:row r="345">
      <x:c r="A345" s="24" t="str">
        <x:v>PX0341</x:v>
      </x:c>
      <x:c r="B345" s="24" t="str">
        <x:v>乾電池組-小包裝</x:v>
      </x:c>
      <x:c r="C345" s="24" t="str">
        <x:v>耗材類</x:v>
      </x:c>
      <x:c r="D345" s="24" t="str">
        <x:v>Cluster 5</x:v>
      </x:c>
      <x:c r="E345" s="26" t="n">
        <x:v>82</x:v>
      </x:c>
      <x:c r="F345" s="26" t="n">
        <x:v>41</x:v>
      </x:c>
      <x:c r="G345" s="24" t="str">
        <x:v>中</x:v>
      </x:c>
      <x:c r="H345" s="24" t="str">
        <x:v>中</x:v>
      </x:c>
      <x:c r="I345" s="24" t="str">
        <x:v>否</x:v>
      </x:c>
      <x:c r="J345" s="24" t="str">
        <x:v>否</x:v>
      </x:c>
      <x:c r="K345" s="24" t="str">
        <x:v>否</x:v>
      </x:c>
      <x:c r="L345" s="24" t="str"/>
      <x:c r="M345" s="28" t="n">
        <x:v>1</x:v>
      </x:c>
      <x:c r="N345" s="26" t="n">
        <x:v>330</x:v>
      </x:c>
      <x:c r="O345" s="26" t="n">
        <x:v>72</x:v>
      </x:c>
      <x:c r="P345" s="24" t="str">
        <x:v>是</x:v>
      </x:c>
      <x:c r="Q345" s="24" t="str">
        <x:v>彈性區</x:v>
      </x:c>
      <x:c r="R345" s="26" t="n">
        <x:v>50</x:v>
      </x:c>
      <x:c r="S345" s="24" t="str">
        <x:v>高頻</x:v>
      </x:c>
    </x:row>
    <x:row r="346">
      <x:c r="A346" s="24" t="str">
        <x:v>PX0342</x:v>
      </x:c>
      <x:c r="B346" s="24" t="str">
        <x:v>餅乾箱-標準箱</x:v>
      </x:c>
      <x:c r="C346" s="24" t="str">
        <x:v>食品類</x:v>
      </x:c>
      <x:c r="D346" s="24" t="str">
        <x:v>Cluster 5</x:v>
      </x:c>
      <x:c r="E346" s="26" t="n">
        <x:v>79</x:v>
      </x:c>
      <x:c r="F346" s="26" t="n">
        <x:v>55</x:v>
      </x:c>
      <x:c r="G346" s="24" t="str">
        <x:v>中</x:v>
      </x:c>
      <x:c r="H346" s="24" t="str">
        <x:v>中</x:v>
      </x:c>
      <x:c r="I346" s="24" t="str">
        <x:v>否</x:v>
      </x:c>
      <x:c r="J346" s="24" t="str">
        <x:v>否</x:v>
      </x:c>
      <x:c r="K346" s="24" t="str">
        <x:v>否</x:v>
      </x:c>
      <x:c r="L346" s="24" t="str"/>
      <x:c r="M346" s="28" t="n">
        <x:v>1</x:v>
      </x:c>
      <x:c r="N346" s="26" t="n">
        <x:v>225</x:v>
      </x:c>
      <x:c r="O346" s="26" t="n">
        <x:v>48</x:v>
      </x:c>
      <x:c r="P346" s="24" t="str">
        <x:v>是</x:v>
      </x:c>
      <x:c r="Q346" s="24" t="str">
        <x:v>A區</x:v>
      </x:c>
      <x:c r="R346" s="26" t="n">
        <x:v>28</x:v>
      </x:c>
      <x:c r="S346" s="24" t="str">
        <x:v>中頻</x:v>
      </x:c>
    </x:row>
    <x:row r="347">
      <x:c r="A347" s="24" t="str">
        <x:v>PX0343</x:v>
      </x:c>
      <x:c r="B347" s="24" t="str">
        <x:v>擦手紙箱-箱裝</x:v>
      </x:c>
      <x:c r="C347" s="24" t="str">
        <x:v>紙品類</x:v>
      </x:c>
      <x:c r="D347" s="24" t="str">
        <x:v>Cluster 5</x:v>
      </x:c>
      <x:c r="E347" s="26" t="n">
        <x:v>14</x:v>
      </x:c>
      <x:c r="F347" s="26" t="n">
        <x:v>9</x:v>
      </x:c>
      <x:c r="G347" s="24" t="str">
        <x:v>中</x:v>
      </x:c>
      <x:c r="H347" s="24" t="str">
        <x:v>中</x:v>
      </x:c>
      <x:c r="I347" s="24" t="str">
        <x:v>否</x:v>
      </x:c>
      <x:c r="J347" s="24" t="str">
        <x:v>否</x:v>
      </x:c>
      <x:c r="K347" s="24" t="str">
        <x:v>否</x:v>
      </x:c>
      <x:c r="L347" s="24" t="str"/>
      <x:c r="M347" s="28" t="n">
        <x:v>1</x:v>
      </x:c>
      <x:c r="N347" s="26" t="n">
        <x:v>43</x:v>
      </x:c>
      <x:c r="O347" s="26" t="str"/>
      <x:c r="P347" s="24" t="str">
        <x:v>否</x:v>
      </x:c>
      <x:c r="Q347" s="24" t="str">
        <x:v>3區</x:v>
      </x:c>
      <x:c r="R347" s="26" t="n">
        <x:v>35</x:v>
      </x:c>
      <x:c r="S347" s="24" t="str">
        <x:v>低頻</x:v>
      </x:c>
    </x:row>
    <x:row r="348">
      <x:c r="A348" s="24" t="str">
        <x:v>PX0344</x:v>
      </x:c>
      <x:c r="B348" s="24" t="str">
        <x:v>玻璃瓶醬料-箱裝</x:v>
      </x:c>
      <x:c r="C348" s="24" t="str">
        <x:v>食品類</x:v>
      </x:c>
      <x:c r="D348" s="24" t="str">
        <x:v>Cluster 1</x:v>
      </x:c>
      <x:c r="E348" s="26" t="n">
        <x:v>47</x:v>
      </x:c>
      <x:c r="F348" s="26" t="n">
        <x:v>25</x:v>
      </x:c>
      <x:c r="G348" s="24" t="str">
        <x:v>小</x:v>
      </x:c>
      <x:c r="H348" s="24" t="str">
        <x:v>輕</x:v>
      </x:c>
      <x:c r="I348" s="24" t="str">
        <x:v>否</x:v>
      </x:c>
      <x:c r="J348" s="24" t="str">
        <x:v>是</x:v>
      </x:c>
      <x:c r="K348" s="24" t="str">
        <x:v>否</x:v>
      </x:c>
      <x:c r="L348" s="24" t="str"/>
      <x:c r="M348" s="28" t="n">
        <x:v>1</x:v>
      </x:c>
      <x:c r="N348" s="26" t="n">
        <x:v>115</x:v>
      </x:c>
      <x:c r="O348" s="26" t="str"/>
      <x:c r="P348" s="24" t="str">
        <x:v>否</x:v>
      </x:c>
      <x:c r="Q348" s="24" t="str">
        <x:v>3區</x:v>
      </x:c>
      <x:c r="R348" s="26" t="n">
        <x:v>49</x:v>
      </x:c>
      <x:c r="S348" s="24" t="str">
        <x:v>中頻、易碎</x:v>
      </x:c>
    </x:row>
    <x:row r="349">
      <x:c r="A349" s="24" t="str">
        <x:v>PX0345</x:v>
      </x:c>
      <x:c r="B349" s="24" t="str">
        <x:v>抽取式衛生紙-小包裝</x:v>
      </x:c>
      <x:c r="C349" s="24" t="str">
        <x:v>紙品類</x:v>
      </x:c>
      <x:c r="D349" s="24" t="str">
        <x:v>Cluster 2</x:v>
      </x:c>
      <x:c r="E349" s="26" t="n">
        <x:v>36</x:v>
      </x:c>
      <x:c r="F349" s="26" t="n">
        <x:v>26</x:v>
      </x:c>
      <x:c r="G349" s="24" t="str">
        <x:v>大</x:v>
      </x:c>
      <x:c r="H349" s="24" t="str">
        <x:v>輕</x:v>
      </x:c>
      <x:c r="I349" s="24" t="str">
        <x:v>否</x:v>
      </x:c>
      <x:c r="J349" s="24" t="str">
        <x:v>否</x:v>
      </x:c>
      <x:c r="K349" s="24" t="str">
        <x:v>否</x:v>
      </x:c>
      <x:c r="L349" s="24" t="str"/>
      <x:c r="M349" s="28" t="n">
        <x:v>1</x:v>
      </x:c>
      <x:c r="N349" s="26" t="n">
        <x:v>161</x:v>
      </x:c>
      <x:c r="O349" s="26" t="n">
        <x:v>30</x:v>
      </x:c>
      <x:c r="P349" s="24" t="str">
        <x:v>是</x:v>
      </x:c>
      <x:c r="Q349" s="24" t="str">
        <x:v>彈性區</x:v>
      </x:c>
      <x:c r="R349" s="26" t="n">
        <x:v>62</x:v>
      </x:c>
      <x:c r="S349" s="24" t="str">
        <x:v>中頻、體積大</x:v>
      </x:c>
    </x:row>
    <x:row r="350">
      <x:c r="A350" s="24" t="str">
        <x:v>PX0346</x:v>
      </x:c>
      <x:c r="B350" s="24" t="str">
        <x:v>沐浴乳-箱裝</x:v>
      </x:c>
      <x:c r="C350" s="24" t="str">
        <x:v>日用品</x:v>
      </x:c>
      <x:c r="D350" s="24" t="str">
        <x:v>Cluster 1</x:v>
      </x:c>
      <x:c r="E350" s="26" t="n">
        <x:v>10</x:v>
      </x:c>
      <x:c r="F350" s="26" t="n">
        <x:v>5</x:v>
      </x:c>
      <x:c r="G350" s="24" t="str">
        <x:v>中</x:v>
      </x:c>
      <x:c r="H350" s="24" t="str">
        <x:v>中</x:v>
      </x:c>
      <x:c r="I350" s="24" t="str">
        <x:v>是</x:v>
      </x:c>
      <x:c r="J350" s="24" t="str">
        <x:v>否</x:v>
      </x:c>
      <x:c r="K350" s="24" t="str">
        <x:v>否</x:v>
      </x:c>
      <x:c r="L350" s="24" t="str"/>
      <x:c r="M350" s="28" t="n">
        <x:v>1</x:v>
      </x:c>
      <x:c r="N350" s="26" t="n">
        <x:v>38</x:v>
      </x:c>
      <x:c r="O350" s="26" t="n">
        <x:v>72</x:v>
      </x:c>
      <x:c r="P350" s="24" t="str">
        <x:v>是</x:v>
      </x:c>
      <x:c r="Q350" s="24" t="str">
        <x:v>彈性區</x:v>
      </x:c>
      <x:c r="R350" s="26" t="n">
        <x:v>50</x:v>
      </x:c>
      <x:c r="S350" s="24" t="str">
        <x:v>低頻、液體</x:v>
      </x:c>
    </x:row>
    <x:row r="351">
      <x:c r="A351" s="24" t="str">
        <x:v>PX0347</x:v>
      </x:c>
      <x:c r="B351" s="24" t="str">
        <x:v>寵物飼料5kg-小包裝</x:v>
      </x:c>
      <x:c r="C351" s="24" t="str">
        <x:v>寵物用品</x:v>
      </x:c>
      <x:c r="D351" s="24" t="str">
        <x:v>Cluster 4</x:v>
      </x:c>
      <x:c r="E351" s="26" t="n">
        <x:v>35</x:v>
      </x:c>
      <x:c r="F351" s="26" t="n">
        <x:v>7</x:v>
      </x:c>
      <x:c r="G351" s="24" t="str">
        <x:v>大</x:v>
      </x:c>
      <x:c r="H351" s="24" t="str">
        <x:v>重</x:v>
      </x:c>
      <x:c r="I351" s="24" t="str">
        <x:v>否</x:v>
      </x:c>
      <x:c r="J351" s="24" t="str">
        <x:v>否</x:v>
      </x:c>
      <x:c r="K351" s="24" t="str">
        <x:v>是</x:v>
      </x:c>
      <x:c r="L351" s="24" t="str">
        <x:v>旺季</x:v>
      </x:c>
      <x:c r="M351" s="28" t="n">
        <x:v>1.8</x:v>
      </x:c>
      <x:c r="N351" s="26" t="n">
        <x:v>104</x:v>
      </x:c>
      <x:c r="O351" s="26" t="n">
        <x:v>18</x:v>
      </x:c>
      <x:c r="P351" s="24" t="str">
        <x:v>是</x:v>
      </x:c>
      <x:c r="Q351" s="24" t="str">
        <x:v>1區</x:v>
      </x:c>
      <x:c r="R351" s="26" t="n">
        <x:v>42</x:v>
      </x:c>
      <x:c r="S351" s="24" t="str">
        <x:v>中頻、體積大、重物、季節性</x:v>
      </x:c>
    </x:row>
    <x:row r="352">
      <x:c r="A352" s="24" t="str">
        <x:v>PX0348</x:v>
      </x:c>
      <x:c r="B352" s="24" t="str">
        <x:v>餐巾紙箱-小包裝</x:v>
      </x:c>
      <x:c r="C352" s="24" t="str">
        <x:v>紙品類</x:v>
      </x:c>
      <x:c r="D352" s="24" t="str">
        <x:v>Cluster 5</x:v>
      </x:c>
      <x:c r="E352" s="26" t="n">
        <x:v>78</x:v>
      </x:c>
      <x:c r="F352" s="26" t="n">
        <x:v>54</x:v>
      </x:c>
      <x:c r="G352" s="24" t="str">
        <x:v>小</x:v>
      </x:c>
      <x:c r="H352" s="24" t="str">
        <x:v>中</x:v>
      </x:c>
      <x:c r="I352" s="24" t="str">
        <x:v>否</x:v>
      </x:c>
      <x:c r="J352" s="24" t="str">
        <x:v>否</x:v>
      </x:c>
      <x:c r="K352" s="24" t="str">
        <x:v>否</x:v>
      </x:c>
      <x:c r="L352" s="24" t="str"/>
      <x:c r="M352" s="28" t="n">
        <x:v>1.1</x:v>
      </x:c>
      <x:c r="N352" s="26" t="n">
        <x:v>301</x:v>
      </x:c>
      <x:c r="O352" s="26" t="n">
        <x:v>80</x:v>
      </x:c>
      <x:c r="P352" s="24" t="str">
        <x:v>是</x:v>
      </x:c>
      <x:c r="Q352" s="24" t="str">
        <x:v>3區</x:v>
      </x:c>
      <x:c r="R352" s="26" t="n">
        <x:v>44</x:v>
      </x:c>
      <x:c r="S352" s="24" t="str">
        <x:v>中頻</x:v>
      </x:c>
    </x:row>
    <x:row r="353">
      <x:c r="A353" s="24" t="str">
        <x:v>PX0349</x:v>
      </x:c>
      <x:c r="B353" s="24" t="str">
        <x:v>季節禮盒-促銷組</x:v>
      </x:c>
      <x:c r="C353" s="24" t="str">
        <x:v>季節商品</x:v>
      </x:c>
      <x:c r="D353" s="24" t="str">
        <x:v>Cluster 4</x:v>
      </x:c>
      <x:c r="E353" s="26" t="n">
        <x:v>49</x:v>
      </x:c>
      <x:c r="F353" s="26" t="n">
        <x:v>23</x:v>
      </x:c>
      <x:c r="G353" s="24" t="str">
        <x:v>大</x:v>
      </x:c>
      <x:c r="H353" s="24" t="str">
        <x:v>中</x:v>
      </x:c>
      <x:c r="I353" s="24" t="str">
        <x:v>否</x:v>
      </x:c>
      <x:c r="J353" s="24" t="str">
        <x:v>是</x:v>
      </x:c>
      <x:c r="K353" s="24" t="str">
        <x:v>是</x:v>
      </x:c>
      <x:c r="L353" s="24" t="str">
        <x:v>1-2月</x:v>
      </x:c>
      <x:c r="M353" s="28" t="n">
        <x:v>2.5</x:v>
      </x:c>
      <x:c r="N353" s="26" t="n">
        <x:v>237</x:v>
      </x:c>
      <x:c r="O353" s="26" t="n">
        <x:v>20</x:v>
      </x:c>
      <x:c r="P353" s="24" t="str">
        <x:v>是</x:v>
      </x:c>
      <x:c r="Q353" s="24" t="str">
        <x:v>A區</x:v>
      </x:c>
      <x:c r="R353" s="26" t="n">
        <x:v>36</x:v>
      </x:c>
      <x:c r="S353" s="24" t="str">
        <x:v>中頻、體積大、易碎、季節性</x:v>
      </x:c>
    </x:row>
    <x:row r="354">
      <x:c r="A354" s="24" t="str">
        <x:v>PX0350</x:v>
      </x:c>
      <x:c r="B354" s="24" t="str">
        <x:v>垃圾袋-箱裝</x:v>
      </x:c>
      <x:c r="C354" s="24" t="str">
        <x:v>日用品</x:v>
      </x:c>
      <x:c r="D354" s="24" t="str">
        <x:v>Cluster 5</x:v>
      </x:c>
      <x:c r="E354" s="26" t="n">
        <x:v>65</x:v>
      </x:c>
      <x:c r="F354" s="26" t="n">
        <x:v>32</x:v>
      </x:c>
      <x:c r="G354" s="24" t="str">
        <x:v>小</x:v>
      </x:c>
      <x:c r="H354" s="24" t="str">
        <x:v>輕</x:v>
      </x:c>
      <x:c r="I354" s="24" t="str">
        <x:v>否</x:v>
      </x:c>
      <x:c r="J354" s="24" t="str">
        <x:v>否</x:v>
      </x:c>
      <x:c r="K354" s="24" t="str">
        <x:v>否</x:v>
      </x:c>
      <x:c r="L354" s="24" t="str"/>
      <x:c r="M354" s="28" t="n">
        <x:v>1</x:v>
      </x:c>
      <x:c r="N354" s="26" t="n">
        <x:v>298</x:v>
      </x:c>
      <x:c r="O354" s="26" t="n">
        <x:v>72</x:v>
      </x:c>
      <x:c r="P354" s="24" t="str">
        <x:v>是</x:v>
      </x:c>
      <x:c r="Q354" s="24" t="str">
        <x:v>1區</x:v>
      </x:c>
      <x:c r="R354" s="26" t="n">
        <x:v>43</x:v>
      </x:c>
      <x:c r="S354" s="24" t="str">
        <x:v>中頻</x:v>
      </x:c>
    </x:row>
    <x:row r="355">
      <x:c r="A355" s="24" t="str">
        <x:v>PX0351</x:v>
      </x:c>
      <x:c r="B355" s="24" t="str">
        <x:v>食用油-小包裝</x:v>
      </x:c>
      <x:c r="C355" s="24" t="str">
        <x:v>食品類</x:v>
      </x:c>
      <x:c r="D355" s="24" t="str">
        <x:v>Cluster 2</x:v>
      </x:c>
      <x:c r="E355" s="26" t="n">
        <x:v>6</x:v>
      </x:c>
      <x:c r="F355" s="26" t="n">
        <x:v>3</x:v>
      </x:c>
      <x:c r="G355" s="24" t="str">
        <x:v>大</x:v>
      </x:c>
      <x:c r="H355" s="24" t="str">
        <x:v>重</x:v>
      </x:c>
      <x:c r="I355" s="24" t="str">
        <x:v>是</x:v>
      </x:c>
      <x:c r="J355" s="24" t="str">
        <x:v>否</x:v>
      </x:c>
      <x:c r="K355" s="24" t="str">
        <x:v>否</x:v>
      </x:c>
      <x:c r="L355" s="24" t="str"/>
      <x:c r="M355" s="28" t="n">
        <x:v>1</x:v>
      </x:c>
      <x:c r="N355" s="26" t="n">
        <x:v>26</x:v>
      </x:c>
      <x:c r="O355" s="26" t="n">
        <x:v>18</x:v>
      </x:c>
      <x:c r="P355" s="24" t="str">
        <x:v>是</x:v>
      </x:c>
      <x:c r="Q355" s="24" t="str">
        <x:v>遠端區</x:v>
      </x:c>
      <x:c r="R355" s="26" t="n">
        <x:v>73</x:v>
      </x:c>
      <x:c r="S355" s="24" t="str">
        <x:v>低頻、體積大、重物、液體</x:v>
      </x:c>
    </x:row>
    <x:row r="356">
      <x:c r="A356" s="24" t="str">
        <x:v>PX0352</x:v>
      </x:c>
      <x:c r="B356" s="24" t="str">
        <x:v>玻璃保鮮盒-箱裝</x:v>
      </x:c>
      <x:c r="C356" s="24" t="str">
        <x:v>家用品</x:v>
      </x:c>
      <x:c r="D356" s="24" t="str">
        <x:v>Cluster 1</x:v>
      </x:c>
      <x:c r="E356" s="26" t="n">
        <x:v>49</x:v>
      </x:c>
      <x:c r="F356" s="26" t="n">
        <x:v>25</x:v>
      </x:c>
      <x:c r="G356" s="24" t="str">
        <x:v>中</x:v>
      </x:c>
      <x:c r="H356" s="24" t="str">
        <x:v>中</x:v>
      </x:c>
      <x:c r="I356" s="24" t="str">
        <x:v>否</x:v>
      </x:c>
      <x:c r="J356" s="24" t="str">
        <x:v>是</x:v>
      </x:c>
      <x:c r="K356" s="24" t="str">
        <x:v>否</x:v>
      </x:c>
      <x:c r="L356" s="24" t="str"/>
      <x:c r="M356" s="28" t="n">
        <x:v>1.1</x:v>
      </x:c>
      <x:c r="N356" s="26" t="n">
        <x:v>237</x:v>
      </x:c>
      <x:c r="O356" s="26" t="str"/>
      <x:c r="P356" s="24" t="str">
        <x:v>否</x:v>
      </x:c>
      <x:c r="Q356" s="24" t="str">
        <x:v>彈性區</x:v>
      </x:c>
      <x:c r="R356" s="26" t="n">
        <x:v>64</x:v>
      </x:c>
      <x:c r="S356" s="24" t="str">
        <x:v>中頻、易碎</x:v>
      </x:c>
    </x:row>
    <x:row r="357">
      <x:c r="A357" s="24" t="str">
        <x:v>PX0353</x:v>
      </x:c>
      <x:c r="B357" s="24" t="str">
        <x:v>牙刷組-標準箱</x:v>
      </x:c>
      <x:c r="C357" s="24" t="str">
        <x:v>日用品</x:v>
      </x:c>
      <x:c r="D357" s="24" t="str">
        <x:v>Cluster 2</x:v>
      </x:c>
      <x:c r="E357" s="26" t="n">
        <x:v>75</x:v>
      </x:c>
      <x:c r="F357" s="26" t="n">
        <x:v>44</x:v>
      </x:c>
      <x:c r="G357" s="24" t="str">
        <x:v>大</x:v>
      </x:c>
      <x:c r="H357" s="24" t="str">
        <x:v>中</x:v>
      </x:c>
      <x:c r="I357" s="24" t="str">
        <x:v>否</x:v>
      </x:c>
      <x:c r="J357" s="24" t="str">
        <x:v>否</x:v>
      </x:c>
      <x:c r="K357" s="24" t="str">
        <x:v>否</x:v>
      </x:c>
      <x:c r="L357" s="24" t="str"/>
      <x:c r="M357" s="28" t="n">
        <x:v>1</x:v>
      </x:c>
      <x:c r="N357" s="26" t="n">
        <x:v>239</x:v>
      </x:c>
      <x:c r="O357" s="26" t="n">
        <x:v>20</x:v>
      </x:c>
      <x:c r="P357" s="24" t="str">
        <x:v>是</x:v>
      </x:c>
      <x:c r="Q357" s="24" t="str">
        <x:v>遠端區</x:v>
      </x:c>
      <x:c r="R357" s="26" t="n">
        <x:v>58</x:v>
      </x:c>
      <x:c r="S357" s="24" t="str">
        <x:v>中頻、體積大</x:v>
      </x:c>
    </x:row>
    <x:row r="358">
      <x:c r="A358" s="24" t="str">
        <x:v>PX0354</x:v>
      </x:c>
      <x:c r="B358" s="24" t="str">
        <x:v>手套耗材-補充包</x:v>
      </x:c>
      <x:c r="C358" s="24" t="str">
        <x:v>耗材類</x:v>
      </x:c>
      <x:c r="D358" s="24" t="str">
        <x:v>Cluster 5</x:v>
      </x:c>
      <x:c r="E358" s="26" t="n">
        <x:v>45</x:v>
      </x:c>
      <x:c r="F358" s="26" t="n">
        <x:v>26</x:v>
      </x:c>
      <x:c r="G358" s="24" t="str">
        <x:v>小</x:v>
      </x:c>
      <x:c r="H358" s="24" t="str">
        <x:v>輕</x:v>
      </x:c>
      <x:c r="I358" s="24" t="str">
        <x:v>否</x:v>
      </x:c>
      <x:c r="J358" s="24" t="str">
        <x:v>否</x:v>
      </x:c>
      <x:c r="K358" s="24" t="str">
        <x:v>否</x:v>
      </x:c>
      <x:c r="L358" s="24" t="str"/>
      <x:c r="M358" s="28" t="n">
        <x:v>1</x:v>
      </x:c>
      <x:c r="N358" s="26" t="n">
        <x:v>220</x:v>
      </x:c>
      <x:c r="O358" s="26" t="str"/>
      <x:c r="P358" s="24" t="str">
        <x:v>否</x:v>
      </x:c>
      <x:c r="Q358" s="24" t="str">
        <x:v>3區</x:v>
      </x:c>
      <x:c r="R358" s="26" t="n">
        <x:v>39</x:v>
      </x:c>
      <x:c r="S358" s="24" t="str">
        <x:v>中頻</x:v>
      </x:c>
    </x:row>
    <x:row r="359">
      <x:c r="A359" s="24" t="str">
        <x:v>PX0355</x:v>
      </x:c>
      <x:c r="B359" s="24" t="str">
        <x:v>中秋禮盒-促銷組</x:v>
      </x:c>
      <x:c r="C359" s="24" t="str">
        <x:v>季節商品</x:v>
      </x:c>
      <x:c r="D359" s="24" t="str">
        <x:v>Cluster 4</x:v>
      </x:c>
      <x:c r="E359" s="26" t="n">
        <x:v>22</x:v>
      </x:c>
      <x:c r="F359" s="26" t="n">
        <x:v>24</x:v>
      </x:c>
      <x:c r="G359" s="24" t="str">
        <x:v>大</x:v>
      </x:c>
      <x:c r="H359" s="24" t="str">
        <x:v>輕</x:v>
      </x:c>
      <x:c r="I359" s="24" t="str">
        <x:v>否</x:v>
      </x:c>
      <x:c r="J359" s="24" t="str">
        <x:v>是</x:v>
      </x:c>
      <x:c r="K359" s="24" t="str">
        <x:v>是</x:v>
      </x:c>
      <x:c r="L359" s="24" t="str">
        <x:v>1-2月</x:v>
      </x:c>
      <x:c r="M359" s="28" t="n">
        <x:v>1.8</x:v>
      </x:c>
      <x:c r="N359" s="26" t="n">
        <x:v>45</x:v>
      </x:c>
      <x:c r="O359" s="26" t="n">
        <x:v>20</x:v>
      </x:c>
      <x:c r="P359" s="24" t="str">
        <x:v>是</x:v>
      </x:c>
      <x:c r="Q359" s="24" t="str">
        <x:v>K區</x:v>
      </x:c>
      <x:c r="R359" s="26" t="n">
        <x:v>59</x:v>
      </x:c>
      <x:c r="S359" s="24" t="str">
        <x:v>低頻、體積大、易碎、季節性</x:v>
      </x:c>
    </x:row>
    <x:row r="360">
      <x:c r="A360" s="24" t="str">
        <x:v>PX0356</x:v>
      </x:c>
      <x:c r="B360" s="24" t="str">
        <x:v>包裝膠帶-補充包</x:v>
      </x:c>
      <x:c r="C360" s="24" t="str">
        <x:v>耗材類</x:v>
      </x:c>
      <x:c r="D360" s="24" t="str">
        <x:v>Cluster 5</x:v>
      </x:c>
      <x:c r="E360" s="26" t="n">
        <x:v>115</x:v>
      </x:c>
      <x:c r="F360" s="26" t="n">
        <x:v>53</x:v>
      </x:c>
      <x:c r="G360" s="24" t="str">
        <x:v>小</x:v>
      </x:c>
      <x:c r="H360" s="24" t="str">
        <x:v>輕</x:v>
      </x:c>
      <x:c r="I360" s="24" t="str">
        <x:v>否</x:v>
      </x:c>
      <x:c r="J360" s="24" t="str">
        <x:v>否</x:v>
      </x:c>
      <x:c r="K360" s="24" t="str">
        <x:v>否</x:v>
      </x:c>
      <x:c r="L360" s="24" t="str"/>
      <x:c r="M360" s="28" t="n">
        <x:v>1</x:v>
      </x:c>
      <x:c r="N360" s="26" t="n">
        <x:v>364</x:v>
      </x:c>
      <x:c r="O360" s="26" t="n">
        <x:v>80</x:v>
      </x:c>
      <x:c r="P360" s="24" t="str">
        <x:v>是</x:v>
      </x:c>
      <x:c r="Q360" s="24" t="str">
        <x:v>遠端區</x:v>
      </x:c>
      <x:c r="R360" s="26" t="n">
        <x:v>57</x:v>
      </x:c>
      <x:c r="S360" s="24" t="str">
        <x:v>高頻</x:v>
      </x:c>
    </x:row>
    <x:row r="361">
      <x:c r="A361" s="24" t="str">
        <x:v>PX0357</x:v>
      </x:c>
      <x:c r="B361" s="24" t="str">
        <x:v>寵物飼料5kg-箱裝</x:v>
      </x:c>
      <x:c r="C361" s="24" t="str">
        <x:v>寵物用品</x:v>
      </x:c>
      <x:c r="D361" s="24" t="str">
        <x:v>Cluster 2</x:v>
      </x:c>
      <x:c r="E361" s="26" t="n">
        <x:v>9</x:v>
      </x:c>
      <x:c r="F361" s="26" t="n">
        <x:v>5</x:v>
      </x:c>
      <x:c r="G361" s="24" t="str">
        <x:v>大</x:v>
      </x:c>
      <x:c r="H361" s="24" t="str">
        <x:v>重</x:v>
      </x:c>
      <x:c r="I361" s="24" t="str">
        <x:v>否</x:v>
      </x:c>
      <x:c r="J361" s="24" t="str">
        <x:v>否</x:v>
      </x:c>
      <x:c r="K361" s="24" t="str">
        <x:v>否</x:v>
      </x:c>
      <x:c r="L361" s="24" t="str"/>
      <x:c r="M361" s="28" t="n">
        <x:v>1</x:v>
      </x:c>
      <x:c r="N361" s="26" t="n">
        <x:v>35</x:v>
      </x:c>
      <x:c r="O361" s="26" t="n">
        <x:v>20</x:v>
      </x:c>
      <x:c r="P361" s="24" t="str">
        <x:v>是</x:v>
      </x:c>
      <x:c r="Q361" s="24" t="str">
        <x:v>遠端區</x:v>
      </x:c>
      <x:c r="R361" s="26" t="n">
        <x:v>66</x:v>
      </x:c>
      <x:c r="S361" s="24" t="str">
        <x:v>低頻、體積大、重物</x:v>
      </x:c>
    </x:row>
    <x:row r="362">
      <x:c r="A362" s="24" t="str">
        <x:v>PX0358</x:v>
      </x:c>
      <x:c r="B362" s="24" t="str">
        <x:v>柔軟精-箱裝</x:v>
      </x:c>
      <x:c r="C362" s="24" t="str">
        <x:v>清潔用品</x:v>
      </x:c>
      <x:c r="D362" s="24" t="str">
        <x:v>Cluster 1</x:v>
      </x:c>
      <x:c r="E362" s="26" t="n">
        <x:v>55</x:v>
      </x:c>
      <x:c r="F362" s="26" t="n">
        <x:v>30</x:v>
      </x:c>
      <x:c r="G362" s="24" t="str">
        <x:v>小</x:v>
      </x:c>
      <x:c r="H362" s="24" t="str">
        <x:v>中</x:v>
      </x:c>
      <x:c r="I362" s="24" t="str">
        <x:v>是</x:v>
      </x:c>
      <x:c r="J362" s="24" t="str">
        <x:v>否</x:v>
      </x:c>
      <x:c r="K362" s="24" t="str">
        <x:v>否</x:v>
      </x:c>
      <x:c r="L362" s="24" t="str"/>
      <x:c r="M362" s="28" t="n">
        <x:v>1</x:v>
      </x:c>
      <x:c r="N362" s="26" t="n">
        <x:v>159</x:v>
      </x:c>
      <x:c r="O362" s="26" t="n">
        <x:v>80</x:v>
      </x:c>
      <x:c r="P362" s="24" t="str">
        <x:v>是</x:v>
      </x:c>
      <x:c r="Q362" s="24" t="str">
        <x:v>A區</x:v>
      </x:c>
      <x:c r="R362" s="26" t="n">
        <x:v>25</x:v>
      </x:c>
      <x:c r="S362" s="24" t="str">
        <x:v>中頻、液體</x:v>
      </x:c>
    </x:row>
    <x:row r="363">
      <x:c r="A363" s="24" t="str">
        <x:v>PX0359</x:v>
      </x:c>
      <x:c r="B363" s="24" t="str">
        <x:v>罐頭食品-箱裝</x:v>
      </x:c>
      <x:c r="C363" s="24" t="str">
        <x:v>食品類</x:v>
      </x:c>
      <x:c r="D363" s="24" t="str">
        <x:v>Cluster 2</x:v>
      </x:c>
      <x:c r="E363" s="26" t="n">
        <x:v>50</x:v>
      </x:c>
      <x:c r="F363" s="26" t="n">
        <x:v>23</x:v>
      </x:c>
      <x:c r="G363" s="24" t="str">
        <x:v>大</x:v>
      </x:c>
      <x:c r="H363" s="24" t="str">
        <x:v>中</x:v>
      </x:c>
      <x:c r="I363" s="24" t="str">
        <x:v>否</x:v>
      </x:c>
      <x:c r="J363" s="24" t="str">
        <x:v>否</x:v>
      </x:c>
      <x:c r="K363" s="24" t="str">
        <x:v>否</x:v>
      </x:c>
      <x:c r="L363" s="24" t="str"/>
      <x:c r="M363" s="28" t="n">
        <x:v>1.1</x:v>
      </x:c>
      <x:c r="N363" s="26" t="n">
        <x:v>220</x:v>
      </x:c>
      <x:c r="O363" s="26" t="n">
        <x:v>24</x:v>
      </x:c>
      <x:c r="P363" s="24" t="str">
        <x:v>是</x:v>
      </x:c>
      <x:c r="Q363" s="24" t="str">
        <x:v>K區</x:v>
      </x:c>
      <x:c r="R363" s="26" t="n">
        <x:v>49</x:v>
      </x:c>
      <x:c r="S363" s="24" t="str">
        <x:v>中頻、體積大</x:v>
      </x:c>
    </x:row>
    <x:row r="364">
      <x:c r="A364" s="24" t="str">
        <x:v>PX0360</x:v>
      </x:c>
      <x:c r="B364" s="24" t="str">
        <x:v>地板清潔劑-補充包</x:v>
      </x:c>
      <x:c r="C364" s="24" t="str">
        <x:v>清潔用品</x:v>
      </x:c>
      <x:c r="D364" s="24" t="str">
        <x:v>Cluster 1</x:v>
      </x:c>
      <x:c r="E364" s="26" t="n">
        <x:v>10</x:v>
      </x:c>
      <x:c r="F364" s="26" t="n">
        <x:v>7</x:v>
      </x:c>
      <x:c r="G364" s="24" t="str">
        <x:v>中</x:v>
      </x:c>
      <x:c r="H364" s="24" t="str">
        <x:v>中</x:v>
      </x:c>
      <x:c r="I364" s="24" t="str">
        <x:v>是</x:v>
      </x:c>
      <x:c r="J364" s="24" t="str">
        <x:v>否</x:v>
      </x:c>
      <x:c r="K364" s="24" t="str">
        <x:v>否</x:v>
      </x:c>
      <x:c r="L364" s="24" t="str"/>
      <x:c r="M364" s="28" t="n">
        <x:v>1.1</x:v>
      </x:c>
      <x:c r="N364" s="26" t="n">
        <x:v>38</x:v>
      </x:c>
      <x:c r="O364" s="26" t="n">
        <x:v>72</x:v>
      </x:c>
      <x:c r="P364" s="24" t="str">
        <x:v>是</x:v>
      </x:c>
      <x:c r="Q364" s="24" t="str">
        <x:v>3區</x:v>
      </x:c>
      <x:c r="R364" s="26" t="n">
        <x:v>46</x:v>
      </x:c>
      <x:c r="S364" s="24" t="str">
        <x:v>低頻、液體</x:v>
      </x:c>
    </x:row>
    <x:row r="365">
      <x:c r="A365" s="24" t="str">
        <x:v>PX0361</x:v>
      </x:c>
      <x:c r="B365" s="24" t="str">
        <x:v>貓砂10L-促銷組</x:v>
      </x:c>
      <x:c r="C365" s="24" t="str">
        <x:v>寵物用品</x:v>
      </x:c>
      <x:c r="D365" s="24" t="str">
        <x:v>Cluster 2</x:v>
      </x:c>
      <x:c r="E365" s="26" t="n">
        <x:v>14</x:v>
      </x:c>
      <x:c r="F365" s="26" t="n">
        <x:v>8</x:v>
      </x:c>
      <x:c r="G365" s="24" t="str">
        <x:v>大</x:v>
      </x:c>
      <x:c r="H365" s="24" t="str">
        <x:v>重</x:v>
      </x:c>
      <x:c r="I365" s="24" t="str">
        <x:v>否</x:v>
      </x:c>
      <x:c r="J365" s="24" t="str">
        <x:v>否</x:v>
      </x:c>
      <x:c r="K365" s="24" t="str">
        <x:v>否</x:v>
      </x:c>
      <x:c r="L365" s="24" t="str"/>
      <x:c r="M365" s="28" t="n">
        <x:v>1.1</x:v>
      </x:c>
      <x:c r="N365" s="26" t="n">
        <x:v>32</x:v>
      </x:c>
      <x:c r="O365" s="26" t="n">
        <x:v>24</x:v>
      </x:c>
      <x:c r="P365" s="24" t="str">
        <x:v>是</x:v>
      </x:c>
      <x:c r="Q365" s="24" t="str">
        <x:v>K區</x:v>
      </x:c>
      <x:c r="R365" s="26" t="n">
        <x:v>49</x:v>
      </x:c>
      <x:c r="S365" s="24" t="str">
        <x:v>低頻、體積大、重物</x:v>
      </x:c>
    </x:row>
    <x:row r="366">
      <x:c r="A366" s="24" t="str">
        <x:v>PX0362</x:v>
      </x:c>
      <x:c r="B366" s="24" t="str">
        <x:v>標籤紙卷-標準箱</x:v>
      </x:c>
      <x:c r="C366" s="24" t="str">
        <x:v>耗材類</x:v>
      </x:c>
      <x:c r="D366" s="24" t="str">
        <x:v>Cluster 5</x:v>
      </x:c>
      <x:c r="E366" s="26" t="n">
        <x:v>32</x:v>
      </x:c>
      <x:c r="F366" s="26" t="n">
        <x:v>15</x:v>
      </x:c>
      <x:c r="G366" s="24" t="str">
        <x:v>小</x:v>
      </x:c>
      <x:c r="H366" s="24" t="str">
        <x:v>輕</x:v>
      </x:c>
      <x:c r="I366" s="24" t="str">
        <x:v>否</x:v>
      </x:c>
      <x:c r="J366" s="24" t="str">
        <x:v>否</x:v>
      </x:c>
      <x:c r="K366" s="24" t="str">
        <x:v>否</x:v>
      </x:c>
      <x:c r="L366" s="24" t="str"/>
      <x:c r="M366" s="28" t="n">
        <x:v>1.1</x:v>
      </x:c>
      <x:c r="N366" s="26" t="n">
        <x:v>83</x:v>
      </x:c>
      <x:c r="O366" s="26" t="str"/>
      <x:c r="P366" s="24" t="str">
        <x:v>否</x:v>
      </x:c>
      <x:c r="Q366" s="24" t="str">
        <x:v>1區</x:v>
      </x:c>
      <x:c r="R366" s="26" t="n">
        <x:v>39</x:v>
      </x:c>
      <x:c r="S366" s="24" t="str">
        <x:v>低頻</x:v>
      </x:c>
    </x:row>
    <x:row r="367">
      <x:c r="A367" s="24" t="str">
        <x:v>PX0363</x:v>
      </x:c>
      <x:c r="B367" s="24" t="str">
        <x:v>防蚊用品-促銷組</x:v>
      </x:c>
      <x:c r="C367" s="24" t="str">
        <x:v>季節商品</x:v>
      </x:c>
      <x:c r="D367" s="24" t="str">
        <x:v>Cluster 4</x:v>
      </x:c>
      <x:c r="E367" s="26" t="n">
        <x:v>34</x:v>
      </x:c>
      <x:c r="F367" s="26" t="n">
        <x:v>4</x:v>
      </x:c>
      <x:c r="G367" s="24" t="str">
        <x:v>小</x:v>
      </x:c>
      <x:c r="H367" s="24" t="str">
        <x:v>輕</x:v>
      </x:c>
      <x:c r="I367" s="24" t="str">
        <x:v>否</x:v>
      </x:c>
      <x:c r="J367" s="24" t="str">
        <x:v>否</x:v>
      </x:c>
      <x:c r="K367" s="24" t="str">
        <x:v>是</x:v>
      </x:c>
      <x:c r="L367" s="24" t="str">
        <x:v>5-8月</x:v>
      </x:c>
      <x:c r="M367" s="28" t="n">
        <x:v>3</x:v>
      </x:c>
      <x:c r="N367" s="26" t="n">
        <x:v>116</x:v>
      </x:c>
      <x:c r="O367" s="26" t="str"/>
      <x:c r="P367" s="24" t="str">
        <x:v>否</x:v>
      </x:c>
      <x:c r="Q367" s="24" t="str">
        <x:v>1區</x:v>
      </x:c>
      <x:c r="R367" s="26" t="n">
        <x:v>24</x:v>
      </x:c>
      <x:c r="S367" s="24" t="str">
        <x:v>低頻、季節性</x:v>
      </x:c>
    </x:row>
    <x:row r="368">
      <x:c r="A368" s="24" t="str">
        <x:v>PX0364</x:v>
      </x:c>
      <x:c r="B368" s="24" t="str">
        <x:v>寵物飼料5kg-箱裝</x:v>
      </x:c>
      <x:c r="C368" s="24" t="str">
        <x:v>寵物用品</x:v>
      </x:c>
      <x:c r="D368" s="24" t="str">
        <x:v>Cluster 2</x:v>
      </x:c>
      <x:c r="E368" s="26" t="n">
        <x:v>71</x:v>
      </x:c>
      <x:c r="F368" s="26" t="n">
        <x:v>52</x:v>
      </x:c>
      <x:c r="G368" s="24" t="str">
        <x:v>大</x:v>
      </x:c>
      <x:c r="H368" s="24" t="str">
        <x:v>重</x:v>
      </x:c>
      <x:c r="I368" s="24" t="str">
        <x:v>否</x:v>
      </x:c>
      <x:c r="J368" s="24" t="str">
        <x:v>否</x:v>
      </x:c>
      <x:c r="K368" s="24" t="str">
        <x:v>否</x:v>
      </x:c>
      <x:c r="L368" s="24" t="str"/>
      <x:c r="M368" s="28" t="n">
        <x:v>1</x:v>
      </x:c>
      <x:c r="N368" s="26" t="n">
        <x:v>303</x:v>
      </x:c>
      <x:c r="O368" s="26" t="n">
        <x:v>24</x:v>
      </x:c>
      <x:c r="P368" s="24" t="str">
        <x:v>是</x:v>
      </x:c>
      <x:c r="Q368" s="24" t="str">
        <x:v>遠端區</x:v>
      </x:c>
      <x:c r="R368" s="26" t="n">
        <x:v>64</x:v>
      </x:c>
      <x:c r="S368" s="24" t="str">
        <x:v>中頻、體積大、重物</x:v>
      </x:c>
    </x:row>
    <x:row r="369">
      <x:c r="A369" s="24" t="str">
        <x:v>PX0365</x:v>
      </x:c>
      <x:c r="B369" s="24" t="str">
        <x:v>洗衣粉箱-箱裝</x:v>
      </x:c>
      <x:c r="C369" s="24" t="str">
        <x:v>清潔用品</x:v>
      </x:c>
      <x:c r="D369" s="24" t="str">
        <x:v>Cluster 1</x:v>
      </x:c>
      <x:c r="E369" s="26" t="n">
        <x:v>57</x:v>
      </x:c>
      <x:c r="F369" s="26" t="n">
        <x:v>35</x:v>
      </x:c>
      <x:c r="G369" s="24" t="str">
        <x:v>中</x:v>
      </x:c>
      <x:c r="H369" s="24" t="str">
        <x:v>中</x:v>
      </x:c>
      <x:c r="I369" s="24" t="str">
        <x:v>是</x:v>
      </x:c>
      <x:c r="J369" s="24" t="str">
        <x:v>否</x:v>
      </x:c>
      <x:c r="K369" s="24" t="str">
        <x:v>否</x:v>
      </x:c>
      <x:c r="L369" s="24" t="str"/>
      <x:c r="M369" s="28" t="n">
        <x:v>1.1</x:v>
      </x:c>
      <x:c r="N369" s="26" t="n">
        <x:v>145</x:v>
      </x:c>
      <x:c r="O369" s="26" t="n">
        <x:v>80</x:v>
      </x:c>
      <x:c r="P369" s="24" t="str">
        <x:v>是</x:v>
      </x:c>
      <x:c r="Q369" s="24" t="str">
        <x:v>遠端區</x:v>
      </x:c>
      <x:c r="R369" s="26" t="n">
        <x:v>60</x:v>
      </x:c>
      <x:c r="S369" s="24" t="str">
        <x:v>中頻、液體</x:v>
      </x:c>
    </x:row>
    <x:row r="370">
      <x:c r="A370" s="24" t="str">
        <x:v>PX0366</x:v>
      </x:c>
      <x:c r="B370" s="24" t="str">
        <x:v>標籤紙卷-箱裝</x:v>
      </x:c>
      <x:c r="C370" s="24" t="str">
        <x:v>耗材類</x:v>
      </x:c>
      <x:c r="D370" s="24" t="str">
        <x:v>Cluster 4</x:v>
      </x:c>
      <x:c r="E370" s="26" t="n">
        <x:v>40</x:v>
      </x:c>
      <x:c r="F370" s="26" t="n">
        <x:v>25</x:v>
      </x:c>
      <x:c r="G370" s="24" t="str">
        <x:v>小</x:v>
      </x:c>
      <x:c r="H370" s="24" t="str">
        <x:v>輕</x:v>
      </x:c>
      <x:c r="I370" s="24" t="str">
        <x:v>否</x:v>
      </x:c>
      <x:c r="J370" s="24" t="str">
        <x:v>否</x:v>
      </x:c>
      <x:c r="K370" s="24" t="str">
        <x:v>是</x:v>
      </x:c>
      <x:c r="L370" s="24" t="str">
        <x:v>旺季</x:v>
      </x:c>
      <x:c r="M370" s="28" t="n">
        <x:v>1.8</x:v>
      </x:c>
      <x:c r="N370" s="26" t="n">
        <x:v>84</x:v>
      </x:c>
      <x:c r="O370" s="26" t="str"/>
      <x:c r="P370" s="24" t="str">
        <x:v>否</x:v>
      </x:c>
      <x:c r="Q370" s="24" t="str">
        <x:v>K區</x:v>
      </x:c>
      <x:c r="R370" s="26" t="n">
        <x:v>43</x:v>
      </x:c>
      <x:c r="S370" s="24" t="str">
        <x:v>中頻、季節性</x:v>
      </x:c>
    </x:row>
    <x:row r="371">
      <x:c r="A371" s="24" t="str">
        <x:v>PX0367</x:v>
      </x:c>
      <x:c r="B371" s="24" t="str">
        <x:v>面紙箱-箱裝</x:v>
      </x:c>
      <x:c r="C371" s="24" t="str">
        <x:v>紙品類</x:v>
      </x:c>
      <x:c r="D371" s="24" t="str">
        <x:v>Cluster 5</x:v>
      </x:c>
      <x:c r="E371" s="26" t="n">
        <x:v>74</x:v>
      </x:c>
      <x:c r="F371" s="26" t="n">
        <x:v>51</x:v>
      </x:c>
      <x:c r="G371" s="24" t="str">
        <x:v>中</x:v>
      </x:c>
      <x:c r="H371" s="24" t="str">
        <x:v>中</x:v>
      </x:c>
      <x:c r="I371" s="24" t="str">
        <x:v>否</x:v>
      </x:c>
      <x:c r="J371" s="24" t="str">
        <x:v>否</x:v>
      </x:c>
      <x:c r="K371" s="24" t="str">
        <x:v>否</x:v>
      </x:c>
      <x:c r="L371" s="24" t="str"/>
      <x:c r="M371" s="28" t="n">
        <x:v>1</x:v>
      </x:c>
      <x:c r="N371" s="26" t="n">
        <x:v>298</x:v>
      </x:c>
      <x:c r="O371" s="26" t="n">
        <x:v>60</x:v>
      </x:c>
      <x:c r="P371" s="24" t="str">
        <x:v>是</x:v>
      </x:c>
      <x:c r="Q371" s="24" t="str">
        <x:v>彈性區</x:v>
      </x:c>
      <x:c r="R371" s="26" t="n">
        <x:v>46</x:v>
      </x:c>
      <x:c r="S371" s="24" t="str">
        <x:v>中頻</x:v>
      </x:c>
    </x:row>
    <x:row r="372">
      <x:c r="A372" s="24" t="str">
        <x:v>PX0368</x:v>
      </x:c>
      <x:c r="B372" s="24" t="str">
        <x:v>寵物罐頭箱-家庭號</x:v>
      </x:c>
      <x:c r="C372" s="24" t="str">
        <x:v>寵物用品</x:v>
      </x:c>
      <x:c r="D372" s="24" t="str">
        <x:v>Cluster 5</x:v>
      </x:c>
      <x:c r="E372" s="26" t="n">
        <x:v>78</x:v>
      </x:c>
      <x:c r="F372" s="26" t="n">
        <x:v>37</x:v>
      </x:c>
      <x:c r="G372" s="24" t="str">
        <x:v>中</x:v>
      </x:c>
      <x:c r="H372" s="24" t="str">
        <x:v>中</x:v>
      </x:c>
      <x:c r="I372" s="24" t="str">
        <x:v>否</x:v>
      </x:c>
      <x:c r="J372" s="24" t="str">
        <x:v>否</x:v>
      </x:c>
      <x:c r="K372" s="24" t="str">
        <x:v>否</x:v>
      </x:c>
      <x:c r="L372" s="24" t="str"/>
      <x:c r="M372" s="28" t="n">
        <x:v>1</x:v>
      </x:c>
      <x:c r="N372" s="26" t="n">
        <x:v>279</x:v>
      </x:c>
      <x:c r="O372" s="26" t="n">
        <x:v>48</x:v>
      </x:c>
      <x:c r="P372" s="24" t="str">
        <x:v>是</x:v>
      </x:c>
      <x:c r="Q372" s="24" t="str">
        <x:v>1區</x:v>
      </x:c>
      <x:c r="R372" s="26" t="n">
        <x:v>35</x:v>
      </x:c>
      <x:c r="S372" s="24" t="str">
        <x:v>中頻</x:v>
      </x:c>
    </x:row>
    <x:row r="373">
      <x:c r="A373" s="24" t="str">
        <x:v>PX0369</x:v>
      </x:c>
      <x:c r="B373" s="24" t="str">
        <x:v>寵物罐頭箱-補充包</x:v>
      </x:c>
      <x:c r="C373" s="24" t="str">
        <x:v>寵物用品</x:v>
      </x:c>
      <x:c r="D373" s="24" t="str">
        <x:v>Cluster 5</x:v>
      </x:c>
      <x:c r="E373" s="26" t="n">
        <x:v>20</x:v>
      </x:c>
      <x:c r="F373" s="26" t="n">
        <x:v>12</x:v>
      </x:c>
      <x:c r="G373" s="24" t="str">
        <x:v>中</x:v>
      </x:c>
      <x:c r="H373" s="24" t="str">
        <x:v>中</x:v>
      </x:c>
      <x:c r="I373" s="24" t="str">
        <x:v>否</x:v>
      </x:c>
      <x:c r="J373" s="24" t="str">
        <x:v>否</x:v>
      </x:c>
      <x:c r="K373" s="24" t="str">
        <x:v>否</x:v>
      </x:c>
      <x:c r="L373" s="24" t="str"/>
      <x:c r="M373" s="28" t="n">
        <x:v>1</x:v>
      </x:c>
      <x:c r="N373" s="26" t="n">
        <x:v>68</x:v>
      </x:c>
      <x:c r="O373" s="26" t="str"/>
      <x:c r="P373" s="24" t="str">
        <x:v>否</x:v>
      </x:c>
      <x:c r="Q373" s="24" t="str">
        <x:v>K區</x:v>
      </x:c>
      <x:c r="R373" s="26" t="n">
        <x:v>51</x:v>
      </x:c>
      <x:c r="S373" s="24" t="str">
        <x:v>低頻</x:v>
      </x:c>
    </x:row>
    <x:row r="374">
      <x:c r="A374" s="24" t="str">
        <x:v>PX0370</x:v>
      </x:c>
      <x:c r="B374" s="24" t="str">
        <x:v>玻璃瓶醬料-小包裝</x:v>
      </x:c>
      <x:c r="C374" s="24" t="str">
        <x:v>食品類</x:v>
      </x:c>
      <x:c r="D374" s="24" t="str">
        <x:v>Cluster 1</x:v>
      </x:c>
      <x:c r="E374" s="26" t="n">
        <x:v>83</x:v>
      </x:c>
      <x:c r="F374" s="26" t="n">
        <x:v>44</x:v>
      </x:c>
      <x:c r="G374" s="24" t="str">
        <x:v>小</x:v>
      </x:c>
      <x:c r="H374" s="24" t="str">
        <x:v>輕</x:v>
      </x:c>
      <x:c r="I374" s="24" t="str">
        <x:v>否</x:v>
      </x:c>
      <x:c r="J374" s="24" t="str">
        <x:v>是</x:v>
      </x:c>
      <x:c r="K374" s="24" t="str">
        <x:v>否</x:v>
      </x:c>
      <x:c r="L374" s="24" t="str"/>
      <x:c r="M374" s="28" t="n">
        <x:v>1</x:v>
      </x:c>
      <x:c r="N374" s="26" t="n">
        <x:v>240</x:v>
      </x:c>
      <x:c r="O374" s="26" t="n">
        <x:v>60</x:v>
      </x:c>
      <x:c r="P374" s="24" t="str">
        <x:v>是</x:v>
      </x:c>
      <x:c r="Q374" s="24" t="str">
        <x:v>彈性區</x:v>
      </x:c>
      <x:c r="R374" s="26" t="n">
        <x:v>62</x:v>
      </x:c>
      <x:c r="S374" s="24" t="str">
        <x:v>高頻、易碎</x:v>
      </x:c>
    </x:row>
    <x:row r="375">
      <x:c r="A375" s="24" t="str">
        <x:v>PX0371</x:v>
      </x:c>
      <x:c r="B375" s="24" t="str">
        <x:v>乾電池組-補充包</x:v>
      </x:c>
      <x:c r="C375" s="24" t="str">
        <x:v>耗材類</x:v>
      </x:c>
      <x:c r="D375" s="24" t="str">
        <x:v>Cluster 2</x:v>
      </x:c>
      <x:c r="E375" s="26" t="n">
        <x:v>55</x:v>
      </x:c>
      <x:c r="F375" s="26" t="n">
        <x:v>36</x:v>
      </x:c>
      <x:c r="G375" s="24" t="str">
        <x:v>大</x:v>
      </x:c>
      <x:c r="H375" s="24" t="str">
        <x:v>輕</x:v>
      </x:c>
      <x:c r="I375" s="24" t="str">
        <x:v>否</x:v>
      </x:c>
      <x:c r="J375" s="24" t="str">
        <x:v>否</x:v>
      </x:c>
      <x:c r="K375" s="24" t="str">
        <x:v>否</x:v>
      </x:c>
      <x:c r="L375" s="24" t="str"/>
      <x:c r="M375" s="28" t="n">
        <x:v>1.1</x:v>
      </x:c>
      <x:c r="N375" s="26" t="n">
        <x:v>258</x:v>
      </x:c>
      <x:c r="O375" s="26" t="n">
        <x:v>20</x:v>
      </x:c>
      <x:c r="P375" s="24" t="str">
        <x:v>是</x:v>
      </x:c>
      <x:c r="Q375" s="24" t="str">
        <x:v>彈性區</x:v>
      </x:c>
      <x:c r="R375" s="26" t="n">
        <x:v>48</x:v>
      </x:c>
      <x:c r="S375" s="24" t="str">
        <x:v>中頻、體積大</x:v>
      </x:c>
    </x:row>
    <x:row r="376">
      <x:c r="A376" s="24" t="str">
        <x:v>PX0372</x:v>
      </x:c>
      <x:c r="B376" s="24" t="str">
        <x:v>地板清潔劑-促銷組</x:v>
      </x:c>
      <x:c r="C376" s="24" t="str">
        <x:v>清潔用品</x:v>
      </x:c>
      <x:c r="D376" s="24" t="str">
        <x:v>Cluster 1</x:v>
      </x:c>
      <x:c r="E376" s="26" t="n">
        <x:v>11</x:v>
      </x:c>
      <x:c r="F376" s="26" t="n">
        <x:v>5</x:v>
      </x:c>
      <x:c r="G376" s="24" t="str">
        <x:v>中</x:v>
      </x:c>
      <x:c r="H376" s="24" t="str">
        <x:v>中</x:v>
      </x:c>
      <x:c r="I376" s="24" t="str">
        <x:v>是</x:v>
      </x:c>
      <x:c r="J376" s="24" t="str">
        <x:v>否</x:v>
      </x:c>
      <x:c r="K376" s="24" t="str">
        <x:v>否</x:v>
      </x:c>
      <x:c r="L376" s="24" t="str"/>
      <x:c r="M376" s="28" t="n">
        <x:v>1.1</x:v>
      </x:c>
      <x:c r="N376" s="26" t="n">
        <x:v>36</x:v>
      </x:c>
      <x:c r="O376" s="26" t="n">
        <x:v>48</x:v>
      </x:c>
      <x:c r="P376" s="24" t="str">
        <x:v>是</x:v>
      </x:c>
      <x:c r="Q376" s="24" t="str">
        <x:v>彈性區</x:v>
      </x:c>
      <x:c r="R376" s="26" t="n">
        <x:v>58</x:v>
      </x:c>
      <x:c r="S376" s="24" t="str">
        <x:v>低頻、液體</x:v>
      </x:c>
    </x:row>
    <x:row r="377">
      <x:c r="A377" s="24" t="str">
        <x:v>PX0373</x:v>
      </x:c>
      <x:c r="B377" s="24" t="str">
        <x:v>瓶裝水600ml-補充包</x:v>
      </x:c>
      <x:c r="C377" s="24" t="str">
        <x:v>飲品類</x:v>
      </x:c>
      <x:c r="D377" s="24" t="str">
        <x:v>Cluster 3</x:v>
      </x:c>
      <x:c r="E377" s="26" t="n">
        <x:v>129</x:v>
      </x:c>
      <x:c r="F377" s="26" t="n">
        <x:v>70</x:v>
      </x:c>
      <x:c r="G377" s="24" t="str">
        <x:v>中</x:v>
      </x:c>
      <x:c r="H377" s="24" t="str">
        <x:v>重</x:v>
      </x:c>
      <x:c r="I377" s="24" t="str">
        <x:v>是</x:v>
      </x:c>
      <x:c r="J377" s="24" t="str">
        <x:v>否</x:v>
      </x:c>
      <x:c r="K377" s="24" t="str">
        <x:v>否</x:v>
      </x:c>
      <x:c r="L377" s="24" t="str"/>
      <x:c r="M377" s="28" t="n">
        <x:v>1.5</x:v>
      </x:c>
      <x:c r="N377" s="26" t="n">
        <x:v>287</x:v>
      </x:c>
      <x:c r="O377" s="26" t="n">
        <x:v>32</x:v>
      </x:c>
      <x:c r="P377" s="24" t="str">
        <x:v>是</x:v>
      </x:c>
      <x:c r="Q377" s="24" t="str">
        <x:v>遠端區</x:v>
      </x:c>
      <x:c r="R377" s="26" t="n">
        <x:v>74</x:v>
      </x:c>
      <x:c r="S377" s="24" t="str">
        <x:v>高頻、重物、液體</x:v>
      </x:c>
    </x:row>
    <x:row r="378">
      <x:c r="A378" s="24" t="str">
        <x:v>PX0374</x:v>
      </x:c>
      <x:c r="B378" s="24" t="str">
        <x:v>咖哩塊箱-促銷組</x:v>
      </x:c>
      <x:c r="C378" s="24" t="str">
        <x:v>食品類</x:v>
      </x:c>
      <x:c r="D378" s="24" t="str">
        <x:v>Cluster 4</x:v>
      </x:c>
      <x:c r="E378" s="26" t="n">
        <x:v>46</x:v>
      </x:c>
      <x:c r="F378" s="26" t="n">
        <x:v>20</x:v>
      </x:c>
      <x:c r="G378" s="24" t="str">
        <x:v>大</x:v>
      </x:c>
      <x:c r="H378" s="24" t="str">
        <x:v>輕</x:v>
      </x:c>
      <x:c r="I378" s="24" t="str">
        <x:v>否</x:v>
      </x:c>
      <x:c r="J378" s="24" t="str">
        <x:v>否</x:v>
      </x:c>
      <x:c r="K378" s="24" t="str">
        <x:v>是</x:v>
      </x:c>
      <x:c r="L378" s="24" t="str">
        <x:v>旺季</x:v>
      </x:c>
      <x:c r="M378" s="28" t="n">
        <x:v>1.8</x:v>
      </x:c>
      <x:c r="N378" s="26" t="n">
        <x:v>162</x:v>
      </x:c>
      <x:c r="O378" s="26" t="n">
        <x:v>30</x:v>
      </x:c>
      <x:c r="P378" s="24" t="str">
        <x:v>是</x:v>
      </x:c>
      <x:c r="Q378" s="24" t="str">
        <x:v>遠端區</x:v>
      </x:c>
      <x:c r="R378" s="26" t="n">
        <x:v>56</x:v>
      </x:c>
      <x:c r="S378" s="24" t="str">
        <x:v>中頻、體積大、季節性</x:v>
      </x:c>
    </x:row>
    <x:row r="379">
      <x:c r="A379" s="24" t="str">
        <x:v>PX0375</x:v>
      </x:c>
      <x:c r="B379" s="24" t="str">
        <x:v>浴廁清潔劑-標準箱</x:v>
      </x:c>
      <x:c r="C379" s="24" t="str">
        <x:v>清潔用品</x:v>
      </x:c>
      <x:c r="D379" s="24" t="str">
        <x:v>Cluster 1</x:v>
      </x:c>
      <x:c r="E379" s="26" t="n">
        <x:v>56</x:v>
      </x:c>
      <x:c r="F379" s="26" t="n">
        <x:v>31</x:v>
      </x:c>
      <x:c r="G379" s="24" t="str">
        <x:v>中</x:v>
      </x:c>
      <x:c r="H379" s="24" t="str">
        <x:v>中</x:v>
      </x:c>
      <x:c r="I379" s="24" t="str">
        <x:v>是</x:v>
      </x:c>
      <x:c r="J379" s="24" t="str">
        <x:v>否</x:v>
      </x:c>
      <x:c r="K379" s="24" t="str">
        <x:v>否</x:v>
      </x:c>
      <x:c r="L379" s="24" t="str"/>
      <x:c r="M379" s="28" t="n">
        <x:v>1</x:v>
      </x:c>
      <x:c r="N379" s="26" t="n">
        <x:v>190</x:v>
      </x:c>
      <x:c r="O379" s="26" t="n">
        <x:v>72</x:v>
      </x:c>
      <x:c r="P379" s="24" t="str">
        <x:v>是</x:v>
      </x:c>
      <x:c r="Q379" s="24" t="str">
        <x:v>K區</x:v>
      </x:c>
      <x:c r="R379" s="26" t="n">
        <x:v>54</x:v>
      </x:c>
      <x:c r="S379" s="24" t="str">
        <x:v>中頻、液體</x:v>
      </x:c>
    </x:row>
    <x:row r="380">
      <x:c r="A380" s="24" t="str">
        <x:v>PX0376</x:v>
      </x:c>
      <x:c r="B380" s="24" t="str">
        <x:v>碳酸飲料整箱-補充包</x:v>
      </x:c>
      <x:c r="C380" s="24" t="str">
        <x:v>飲品類</x:v>
      </x:c>
      <x:c r="D380" s="24" t="str">
        <x:v>Cluster 2</x:v>
      </x:c>
      <x:c r="E380" s="26" t="n">
        <x:v>49</x:v>
      </x:c>
      <x:c r="F380" s="26" t="n">
        <x:v>36</x:v>
      </x:c>
      <x:c r="G380" s="24" t="str">
        <x:v>中</x:v>
      </x:c>
      <x:c r="H380" s="24" t="str">
        <x:v>重</x:v>
      </x:c>
      <x:c r="I380" s="24" t="str">
        <x:v>是</x:v>
      </x:c>
      <x:c r="J380" s="24" t="str">
        <x:v>否</x:v>
      </x:c>
      <x:c r="K380" s="24" t="str">
        <x:v>否</x:v>
      </x:c>
      <x:c r="L380" s="24" t="str"/>
      <x:c r="M380" s="28" t="n">
        <x:v>1.3</x:v>
      </x:c>
      <x:c r="N380" s="26" t="n">
        <x:v>135</x:v>
      </x:c>
      <x:c r="O380" s="26" t="n">
        <x:v>32</x:v>
      </x:c>
      <x:c r="P380" s="24" t="str">
        <x:v>是</x:v>
      </x:c>
      <x:c r="Q380" s="24" t="str">
        <x:v>3區</x:v>
      </x:c>
      <x:c r="R380" s="26" t="n">
        <x:v>36</x:v>
      </x:c>
      <x:c r="S380" s="24" t="str">
        <x:v>中頻、重物、液體</x:v>
      </x:c>
    </x:row>
    <x:row r="381">
      <x:c r="A381" s="24" t="str">
        <x:v>PX0377</x:v>
      </x:c>
      <x:c r="B381" s="24" t="str">
        <x:v>廚房紙巾-家庭號</x:v>
      </x:c>
      <x:c r="C381" s="24" t="str">
        <x:v>紙品類</x:v>
      </x:c>
      <x:c r="D381" s="24" t="str">
        <x:v>Cluster 2</x:v>
      </x:c>
      <x:c r="E381" s="26" t="n">
        <x:v>19</x:v>
      </x:c>
      <x:c r="F381" s="26" t="n">
        <x:v>13</x:v>
      </x:c>
      <x:c r="G381" s="24" t="str">
        <x:v>大</x:v>
      </x:c>
      <x:c r="H381" s="24" t="str">
        <x:v>輕</x:v>
      </x:c>
      <x:c r="I381" s="24" t="str">
        <x:v>否</x:v>
      </x:c>
      <x:c r="J381" s="24" t="str">
        <x:v>否</x:v>
      </x:c>
      <x:c r="K381" s="24" t="str">
        <x:v>否</x:v>
      </x:c>
      <x:c r="L381" s="24" t="str"/>
      <x:c r="M381" s="28" t="n">
        <x:v>1.1</x:v>
      </x:c>
      <x:c r="N381" s="26" t="n">
        <x:v>38</x:v>
      </x:c>
      <x:c r="O381" s="26" t="n">
        <x:v>30</x:v>
      </x:c>
      <x:c r="P381" s="24" t="str">
        <x:v>是</x:v>
      </x:c>
      <x:c r="Q381" s="24" t="str">
        <x:v>3區</x:v>
      </x:c>
      <x:c r="R381" s="26" t="n">
        <x:v>38</x:v>
      </x:c>
      <x:c r="S381" s="24" t="str">
        <x:v>低頻、體積大</x:v>
      </x:c>
    </x:row>
    <x:row r="382">
      <x:c r="A382" s="24" t="str">
        <x:v>PX0378</x:v>
      </x:c>
      <x:c r="B382" s="24" t="str">
        <x:v>乾電池組-補充包</x:v>
      </x:c>
      <x:c r="C382" s="24" t="str">
        <x:v>耗材類</x:v>
      </x:c>
      <x:c r="D382" s="24" t="str">
        <x:v>Cluster 5</x:v>
      </x:c>
      <x:c r="E382" s="26" t="n">
        <x:v>94</x:v>
      </x:c>
      <x:c r="F382" s="26" t="n">
        <x:v>61</x:v>
      </x:c>
      <x:c r="G382" s="24" t="str">
        <x:v>小</x:v>
      </x:c>
      <x:c r="H382" s="24" t="str">
        <x:v>輕</x:v>
      </x:c>
      <x:c r="I382" s="24" t="str">
        <x:v>否</x:v>
      </x:c>
      <x:c r="J382" s="24" t="str">
        <x:v>否</x:v>
      </x:c>
      <x:c r="K382" s="24" t="str">
        <x:v>否</x:v>
      </x:c>
      <x:c r="L382" s="24" t="str"/>
      <x:c r="M382" s="28" t="n">
        <x:v>1</x:v>
      </x:c>
      <x:c r="N382" s="26" t="n">
        <x:v>409</x:v>
      </x:c>
      <x:c r="O382" s="26" t="n">
        <x:v>80</x:v>
      </x:c>
      <x:c r="P382" s="24" t="str">
        <x:v>是</x:v>
      </x:c>
      <x:c r="Q382" s="24" t="str">
        <x:v>A區</x:v>
      </x:c>
      <x:c r="R382" s="26" t="n">
        <x:v>30</x:v>
      </x:c>
      <x:c r="S382" s="24" t="str">
        <x:v>高頻</x:v>
      </x:c>
    </x:row>
    <x:row r="383">
      <x:c r="A383" s="24" t="str">
        <x:v>PX0379</x:v>
      </x:c>
      <x:c r="B383" s="24" t="str">
        <x:v>保鮮膜-箱裝</x:v>
      </x:c>
      <x:c r="C383" s="24" t="str">
        <x:v>家用品</x:v>
      </x:c>
      <x:c r="D383" s="24" t="str">
        <x:v>Cluster 5</x:v>
      </x:c>
      <x:c r="E383" s="26" t="n">
        <x:v>48</x:v>
      </x:c>
      <x:c r="F383" s="26" t="n">
        <x:v>22</x:v>
      </x:c>
      <x:c r="G383" s="24" t="str">
        <x:v>小</x:v>
      </x:c>
      <x:c r="H383" s="24" t="str">
        <x:v>輕</x:v>
      </x:c>
      <x:c r="I383" s="24" t="str">
        <x:v>否</x:v>
      </x:c>
      <x:c r="J383" s="24" t="str">
        <x:v>否</x:v>
      </x:c>
      <x:c r="K383" s="24" t="str">
        <x:v>否</x:v>
      </x:c>
      <x:c r="L383" s="24" t="str"/>
      <x:c r="M383" s="28" t="n">
        <x:v>1</x:v>
      </x:c>
      <x:c r="N383" s="26" t="n">
        <x:v>107</x:v>
      </x:c>
      <x:c r="O383" s="26" t="str"/>
      <x:c r="P383" s="24" t="str">
        <x:v>否</x:v>
      </x:c>
      <x:c r="Q383" s="24" t="str">
        <x:v>1區</x:v>
      </x:c>
      <x:c r="R383" s="26" t="n">
        <x:v>30</x:v>
      </x:c>
      <x:c r="S383" s="24" t="str">
        <x:v>中頻</x:v>
      </x:c>
    </x:row>
    <x:row r="384">
      <x:c r="A384" s="24" t="str">
        <x:v>PX0380</x:v>
      </x:c>
      <x:c r="B384" s="24" t="str">
        <x:v>調味醬油-促銷組</x:v>
      </x:c>
      <x:c r="C384" s="24" t="str">
        <x:v>食品類</x:v>
      </x:c>
      <x:c r="D384" s="24" t="str">
        <x:v>Cluster 1</x:v>
      </x:c>
      <x:c r="E384" s="26" t="n">
        <x:v>34</x:v>
      </x:c>
      <x:c r="F384" s="26" t="n">
        <x:v>17</x:v>
      </x:c>
      <x:c r="G384" s="24" t="str">
        <x:v>小</x:v>
      </x:c>
      <x:c r="H384" s="24" t="str">
        <x:v>重</x:v>
      </x:c>
      <x:c r="I384" s="24" t="str">
        <x:v>是</x:v>
      </x:c>
      <x:c r="J384" s="24" t="str">
        <x:v>否</x:v>
      </x:c>
      <x:c r="K384" s="24" t="str">
        <x:v>否</x:v>
      </x:c>
      <x:c r="L384" s="24" t="str"/>
      <x:c r="M384" s="28" t="n">
        <x:v>1</x:v>
      </x:c>
      <x:c r="N384" s="26" t="n">
        <x:v>127</x:v>
      </x:c>
      <x:c r="O384" s="26" t="n">
        <x:v>48</x:v>
      </x:c>
      <x:c r="P384" s="24" t="str">
        <x:v>是</x:v>
      </x:c>
      <x:c r="Q384" s="24" t="str">
        <x:v>1區</x:v>
      </x:c>
      <x:c r="R384" s="26" t="n">
        <x:v>31</x:v>
      </x:c>
      <x:c r="S384" s="24" t="str">
        <x:v>低頻、重物、液體</x:v>
      </x:c>
    </x:row>
    <x:row r="385">
      <x:c r="A385" s="24" t="str">
        <x:v>PX0381</x:v>
      </x:c>
      <x:c r="B385" s="24" t="str">
        <x:v>標籤紙卷-標準箱</x:v>
      </x:c>
      <x:c r="C385" s="24" t="str">
        <x:v>耗材類</x:v>
      </x:c>
      <x:c r="D385" s="24" t="str">
        <x:v>Cluster 5</x:v>
      </x:c>
      <x:c r="E385" s="26" t="n">
        <x:v>68</x:v>
      </x:c>
      <x:c r="F385" s="26" t="n">
        <x:v>48</x:v>
      </x:c>
      <x:c r="G385" s="24" t="str">
        <x:v>小</x:v>
      </x:c>
      <x:c r="H385" s="24" t="str">
        <x:v>輕</x:v>
      </x:c>
      <x:c r="I385" s="24" t="str">
        <x:v>否</x:v>
      </x:c>
      <x:c r="J385" s="24" t="str">
        <x:v>否</x:v>
      </x:c>
      <x:c r="K385" s="24" t="str">
        <x:v>否</x:v>
      </x:c>
      <x:c r="L385" s="24" t="str"/>
      <x:c r="M385" s="28" t="n">
        <x:v>1.1</x:v>
      </x:c>
      <x:c r="N385" s="26" t="n">
        <x:v>227</x:v>
      </x:c>
      <x:c r="O385" s="26" t="n">
        <x:v>72</x:v>
      </x:c>
      <x:c r="P385" s="24" t="str">
        <x:v>是</x:v>
      </x:c>
      <x:c r="Q385" s="24" t="str">
        <x:v>遠端區</x:v>
      </x:c>
      <x:c r="R385" s="26" t="n">
        <x:v>63</x:v>
      </x:c>
      <x:c r="S385" s="24" t="str">
        <x:v>中頻</x:v>
      </x:c>
    </x:row>
    <x:row r="386">
      <x:c r="A386" s="24" t="str">
        <x:v>PX0382</x:v>
      </x:c>
      <x:c r="B386" s="24" t="str">
        <x:v>柔軟精-箱裝</x:v>
      </x:c>
      <x:c r="C386" s="24" t="str">
        <x:v>清潔用品</x:v>
      </x:c>
      <x:c r="D386" s="24" t="str">
        <x:v>Cluster 1</x:v>
      </x:c>
      <x:c r="E386" s="26" t="n">
        <x:v>9</x:v>
      </x:c>
      <x:c r="F386" s="26" t="n">
        <x:v>5</x:v>
      </x:c>
      <x:c r="G386" s="24" t="str">
        <x:v>小</x:v>
      </x:c>
      <x:c r="H386" s="24" t="str">
        <x:v>中</x:v>
      </x:c>
      <x:c r="I386" s="24" t="str">
        <x:v>是</x:v>
      </x:c>
      <x:c r="J386" s="24" t="str">
        <x:v>否</x:v>
      </x:c>
      <x:c r="K386" s="24" t="str">
        <x:v>否</x:v>
      </x:c>
      <x:c r="L386" s="24" t="str"/>
      <x:c r="M386" s="28" t="n">
        <x:v>1</x:v>
      </x:c>
      <x:c r="N386" s="26" t="n">
        <x:v>44</x:v>
      </x:c>
      <x:c r="O386" s="26" t="n">
        <x:v>60</x:v>
      </x:c>
      <x:c r="P386" s="24" t="str">
        <x:v>是</x:v>
      </x:c>
      <x:c r="Q386" s="24" t="str">
        <x:v>K區</x:v>
      </x:c>
      <x:c r="R386" s="26" t="n">
        <x:v>60</x:v>
      </x:c>
      <x:c r="S386" s="24" t="str">
        <x:v>低頻、液體</x:v>
      </x:c>
    </x:row>
    <x:row r="387">
      <x:c r="A387" s="24" t="str">
        <x:v>PX0383</x:v>
      </x:c>
      <x:c r="B387" s="24" t="str">
        <x:v>季節禮盒-標準箱</x:v>
      </x:c>
      <x:c r="C387" s="24" t="str">
        <x:v>季節商品</x:v>
      </x:c>
      <x:c r="D387" s="24" t="str">
        <x:v>Cluster 4</x:v>
      </x:c>
      <x:c r="E387" s="26" t="n">
        <x:v>14</x:v>
      </x:c>
      <x:c r="F387" s="26" t="n">
        <x:v>14</x:v>
      </x:c>
      <x:c r="G387" s="24" t="str">
        <x:v>大</x:v>
      </x:c>
      <x:c r="H387" s="24" t="str">
        <x:v>中</x:v>
      </x:c>
      <x:c r="I387" s="24" t="str">
        <x:v>否</x:v>
      </x:c>
      <x:c r="J387" s="24" t="str">
        <x:v>是</x:v>
      </x:c>
      <x:c r="K387" s="24" t="str">
        <x:v>是</x:v>
      </x:c>
      <x:c r="L387" s="24" t="str">
        <x:v>1-2月</x:v>
      </x:c>
      <x:c r="M387" s="28" t="n">
        <x:v>2</x:v>
      </x:c>
      <x:c r="N387" s="26" t="n">
        <x:v>35</x:v>
      </x:c>
      <x:c r="O387" s="26" t="n">
        <x:v>24</x:v>
      </x:c>
      <x:c r="P387" s="24" t="str">
        <x:v>是</x:v>
      </x:c>
      <x:c r="Q387" s="24" t="str">
        <x:v>3區</x:v>
      </x:c>
      <x:c r="R387" s="26" t="n">
        <x:v>35</x:v>
      </x:c>
      <x:c r="S387" s="24" t="str">
        <x:v>低頻、體積大、易碎、季節性</x:v>
      </x:c>
    </x:row>
    <x:row r="388">
      <x:c r="A388" s="24" t="str">
        <x:v>PX0384</x:v>
      </x:c>
      <x:c r="B388" s="24" t="str">
        <x:v>衛生棉組-箱裝</x:v>
      </x:c>
      <x:c r="C388" s="24" t="str">
        <x:v>日用品</x:v>
      </x:c>
      <x:c r="D388" s="24" t="str">
        <x:v>Cluster 5</x:v>
      </x:c>
      <x:c r="E388" s="26" t="n">
        <x:v>51</x:v>
      </x:c>
      <x:c r="F388" s="26" t="n">
        <x:v>36</x:v>
      </x:c>
      <x:c r="G388" s="24" t="str">
        <x:v>小</x:v>
      </x:c>
      <x:c r="H388" s="24" t="str">
        <x:v>輕</x:v>
      </x:c>
      <x:c r="I388" s="24" t="str">
        <x:v>否</x:v>
      </x:c>
      <x:c r="J388" s="24" t="str">
        <x:v>否</x:v>
      </x:c>
      <x:c r="K388" s="24" t="str">
        <x:v>否</x:v>
      </x:c>
      <x:c r="L388" s="24" t="str"/>
      <x:c r="M388" s="28" t="n">
        <x:v>1.1</x:v>
      </x:c>
      <x:c r="N388" s="26" t="n">
        <x:v>118</x:v>
      </x:c>
      <x:c r="O388" s="26" t="n">
        <x:v>48</x:v>
      </x:c>
      <x:c r="P388" s="24" t="str">
        <x:v>是</x:v>
      </x:c>
      <x:c r="Q388" s="24" t="str">
        <x:v>3區</x:v>
      </x:c>
      <x:c r="R388" s="26" t="n">
        <x:v>48</x:v>
      </x:c>
      <x:c r="S388" s="24" t="str">
        <x:v>中頻</x:v>
      </x:c>
    </x:row>
    <x:row r="389">
      <x:c r="A389" s="24" t="str">
        <x:v>PX0385</x:v>
      </x:c>
      <x:c r="B389" s="24" t="str">
        <x:v>咖啡罐裝整箱-補充包</x:v>
      </x:c>
      <x:c r="C389" s="24" t="str">
        <x:v>飲品類</x:v>
      </x:c>
      <x:c r="D389" s="24" t="str">
        <x:v>Cluster 2</x:v>
      </x:c>
      <x:c r="E389" s="26" t="n">
        <x:v>24</x:v>
      </x:c>
      <x:c r="F389" s="26" t="n">
        <x:v>14</x:v>
      </x:c>
      <x:c r="G389" s="24" t="str">
        <x:v>大</x:v>
      </x:c>
      <x:c r="H389" s="24" t="str">
        <x:v>中</x:v>
      </x:c>
      <x:c r="I389" s="24" t="str">
        <x:v>是</x:v>
      </x:c>
      <x:c r="J389" s="24" t="str">
        <x:v>否</x:v>
      </x:c>
      <x:c r="K389" s="24" t="str">
        <x:v>否</x:v>
      </x:c>
      <x:c r="L389" s="24" t="str"/>
      <x:c r="M389" s="28" t="n">
        <x:v>1</x:v>
      </x:c>
      <x:c r="N389" s="26" t="n">
        <x:v>76</x:v>
      </x:c>
      <x:c r="O389" s="26" t="n">
        <x:v>18</x:v>
      </x:c>
      <x:c r="P389" s="24" t="str">
        <x:v>是</x:v>
      </x:c>
      <x:c r="Q389" s="24" t="str">
        <x:v>A區</x:v>
      </x:c>
      <x:c r="R389" s="26" t="n">
        <x:v>23</x:v>
      </x:c>
      <x:c r="S389" s="24" t="str">
        <x:v>低頻、體積大、液體</x:v>
      </x:c>
    </x:row>
    <x:row r="390">
      <x:c r="A390" s="24" t="str">
        <x:v>PX0386</x:v>
      </x:c>
      <x:c r="B390" s="24" t="str">
        <x:v>寵物尿布墊-促銷組</x:v>
      </x:c>
      <x:c r="C390" s="24" t="str">
        <x:v>寵物用品</x:v>
      </x:c>
      <x:c r="D390" s="24" t="str">
        <x:v>Cluster 2</x:v>
      </x:c>
      <x:c r="E390" s="26" t="n">
        <x:v>25</x:v>
      </x:c>
      <x:c r="F390" s="26" t="n">
        <x:v>11</x:v>
      </x:c>
      <x:c r="G390" s="24" t="str">
        <x:v>大</x:v>
      </x:c>
      <x:c r="H390" s="24" t="str">
        <x:v>輕</x:v>
      </x:c>
      <x:c r="I390" s="24" t="str">
        <x:v>否</x:v>
      </x:c>
      <x:c r="J390" s="24" t="str">
        <x:v>否</x:v>
      </x:c>
      <x:c r="K390" s="24" t="str">
        <x:v>否</x:v>
      </x:c>
      <x:c r="L390" s="24" t="str"/>
      <x:c r="M390" s="28" t="n">
        <x:v>1</x:v>
      </x:c>
      <x:c r="N390" s="26" t="n">
        <x:v>99</x:v>
      </x:c>
      <x:c r="O390" s="26" t="n">
        <x:v>30</x:v>
      </x:c>
      <x:c r="P390" s="24" t="str">
        <x:v>是</x:v>
      </x:c>
      <x:c r="Q390" s="24" t="str">
        <x:v>3區</x:v>
      </x:c>
      <x:c r="R390" s="26" t="n">
        <x:v>33</x:v>
      </x:c>
      <x:c r="S390" s="24" t="str">
        <x:v>低頻、體積大</x:v>
      </x:c>
    </x:row>
    <x:row r="391">
      <x:c r="A391" s="24" t="str">
        <x:v>PX0387</x:v>
      </x:c>
      <x:c r="B391" s="24" t="str">
        <x:v>中秋禮盒-箱裝</x:v>
      </x:c>
      <x:c r="C391" s="24" t="str">
        <x:v>季節商品</x:v>
      </x:c>
      <x:c r="D391" s="24" t="str">
        <x:v>Cluster 4</x:v>
      </x:c>
      <x:c r="E391" s="26" t="n">
        <x:v>30</x:v>
      </x:c>
      <x:c r="F391" s="26" t="n">
        <x:v>4</x:v>
      </x:c>
      <x:c r="G391" s="24" t="str">
        <x:v>大</x:v>
      </x:c>
      <x:c r="H391" s="24" t="str">
        <x:v>輕</x:v>
      </x:c>
      <x:c r="I391" s="24" t="str">
        <x:v>否</x:v>
      </x:c>
      <x:c r="J391" s="24" t="str">
        <x:v>是</x:v>
      </x:c>
      <x:c r="K391" s="24" t="str">
        <x:v>是</x:v>
      </x:c>
      <x:c r="L391" s="24" t="str">
        <x:v>1-2月</x:v>
      </x:c>
      <x:c r="M391" s="28" t="n">
        <x:v>3</x:v>
      </x:c>
      <x:c r="N391" s="26" t="n">
        <x:v>138</x:v>
      </x:c>
      <x:c r="O391" s="26" t="n">
        <x:v>30</x:v>
      </x:c>
      <x:c r="P391" s="24" t="str">
        <x:v>是</x:v>
      </x:c>
      <x:c r="Q391" s="24" t="str">
        <x:v>K區</x:v>
      </x:c>
      <x:c r="R391" s="26" t="n">
        <x:v>44</x:v>
      </x:c>
      <x:c r="S391" s="24" t="str">
        <x:v>低頻、體積大、易碎、季節性</x:v>
      </x:c>
    </x:row>
    <x:row r="392">
      <x:c r="A392" s="24" t="str">
        <x:v>PX0388</x:v>
      </x:c>
      <x:c r="B392" s="24" t="str">
        <x:v>貓砂10L-補充包</x:v>
      </x:c>
      <x:c r="C392" s="24" t="str">
        <x:v>寵物用品</x:v>
      </x:c>
      <x:c r="D392" s="24" t="str">
        <x:v>Cluster 2</x:v>
      </x:c>
      <x:c r="E392" s="26" t="n">
        <x:v>62</x:v>
      </x:c>
      <x:c r="F392" s="26" t="n">
        <x:v>44</x:v>
      </x:c>
      <x:c r="G392" s="24" t="str">
        <x:v>大</x:v>
      </x:c>
      <x:c r="H392" s="24" t="str">
        <x:v>重</x:v>
      </x:c>
      <x:c r="I392" s="24" t="str">
        <x:v>否</x:v>
      </x:c>
      <x:c r="J392" s="24" t="str">
        <x:v>否</x:v>
      </x:c>
      <x:c r="K392" s="24" t="str">
        <x:v>否</x:v>
      </x:c>
      <x:c r="L392" s="24" t="str"/>
      <x:c r="M392" s="28" t="n">
        <x:v>1</x:v>
      </x:c>
      <x:c r="N392" s="26" t="n">
        <x:v>239</x:v>
      </x:c>
      <x:c r="O392" s="26" t="n">
        <x:v>24</x:v>
      </x:c>
      <x:c r="P392" s="24" t="str">
        <x:v>是</x:v>
      </x:c>
      <x:c r="Q392" s="24" t="str">
        <x:v>K區</x:v>
      </x:c>
      <x:c r="R392" s="26" t="n">
        <x:v>58</x:v>
      </x:c>
      <x:c r="S392" s="24" t="str">
        <x:v>中頻、體積大、重物</x:v>
      </x:c>
    </x:row>
    <x:row r="393">
      <x:c r="A393" s="24" t="str">
        <x:v>PX0389</x:v>
      </x:c>
      <x:c r="B393" s="24" t="str">
        <x:v>端午禮盒-小包裝</x:v>
      </x:c>
      <x:c r="C393" s="24" t="str">
        <x:v>季節商品</x:v>
      </x:c>
      <x:c r="D393" s="24" t="str">
        <x:v>Cluster 4</x:v>
      </x:c>
      <x:c r="E393" s="26" t="n">
        <x:v>12</x:v>
      </x:c>
      <x:c r="F393" s="26" t="n">
        <x:v>6</x:v>
      </x:c>
      <x:c r="G393" s="24" t="str">
        <x:v>大</x:v>
      </x:c>
      <x:c r="H393" s="24" t="str">
        <x:v>輕</x:v>
      </x:c>
      <x:c r="I393" s="24" t="str">
        <x:v>否</x:v>
      </x:c>
      <x:c r="J393" s="24" t="str">
        <x:v>是</x:v>
      </x:c>
      <x:c r="K393" s="24" t="str">
        <x:v>是</x:v>
      </x:c>
      <x:c r="L393" s="24" t="str">
        <x:v>1-2月</x:v>
      </x:c>
      <x:c r="M393" s="28" t="n">
        <x:v>3</x:v>
      </x:c>
      <x:c r="N393" s="26" t="n">
        <x:v>52</x:v>
      </x:c>
      <x:c r="O393" s="26" t="n">
        <x:v>18</x:v>
      </x:c>
      <x:c r="P393" s="24" t="str">
        <x:v>是</x:v>
      </x:c>
      <x:c r="Q393" s="24" t="str">
        <x:v>1區</x:v>
      </x:c>
      <x:c r="R393" s="26" t="n">
        <x:v>27</x:v>
      </x:c>
      <x:c r="S393" s="24" t="str">
        <x:v>低頻、體積大、易碎、季節性</x:v>
      </x:c>
    </x:row>
    <x:row r="394">
      <x:c r="A394" s="24" t="str">
        <x:v>PX0390</x:v>
      </x:c>
      <x:c r="B394" s="24" t="str">
        <x:v>成人紙尿褲-補充包</x:v>
      </x:c>
      <x:c r="C394" s="24" t="str">
        <x:v>日用品</x:v>
      </x:c>
      <x:c r="D394" s="24" t="str">
        <x:v>Cluster 2</x:v>
      </x:c>
      <x:c r="E394" s="26" t="n">
        <x:v>71</x:v>
      </x:c>
      <x:c r="F394" s="26" t="n">
        <x:v>52</x:v>
      </x:c>
      <x:c r="G394" s="24" t="str">
        <x:v>大</x:v>
      </x:c>
      <x:c r="H394" s="24" t="str">
        <x:v>中</x:v>
      </x:c>
      <x:c r="I394" s="24" t="str">
        <x:v>否</x:v>
      </x:c>
      <x:c r="J394" s="24" t="str">
        <x:v>否</x:v>
      </x:c>
      <x:c r="K394" s="24" t="str">
        <x:v>否</x:v>
      </x:c>
      <x:c r="L394" s="24" t="str"/>
      <x:c r="M394" s="28" t="n">
        <x:v>1</x:v>
      </x:c>
      <x:c r="N394" s="26" t="n">
        <x:v>170</x:v>
      </x:c>
      <x:c r="O394" s="26" t="n">
        <x:v>20</x:v>
      </x:c>
      <x:c r="P394" s="24" t="str">
        <x:v>是</x:v>
      </x:c>
      <x:c r="Q394" s="24" t="str">
        <x:v>K區</x:v>
      </x:c>
      <x:c r="R394" s="26" t="n">
        <x:v>42</x:v>
      </x:c>
      <x:c r="S394" s="24" t="str">
        <x:v>中頻、體積大</x:v>
      </x:c>
    </x:row>
    <x:row r="395">
      <x:c r="A395" s="24" t="str">
        <x:v>PX0391</x:v>
      </x:c>
      <x:c r="B395" s="24" t="str">
        <x:v>家庭號礦泉水-家庭號</x:v>
      </x:c>
      <x:c r="C395" s="24" t="str">
        <x:v>飲品類</x:v>
      </x:c>
      <x:c r="D395" s="24" t="str">
        <x:v>Cluster 2</x:v>
      </x:c>
      <x:c r="E395" s="26" t="n">
        <x:v>65</x:v>
      </x:c>
      <x:c r="F395" s="26" t="n">
        <x:v>39</x:v>
      </x:c>
      <x:c r="G395" s="24" t="str">
        <x:v>中</x:v>
      </x:c>
      <x:c r="H395" s="24" t="str">
        <x:v>重</x:v>
      </x:c>
      <x:c r="I395" s="24" t="str">
        <x:v>是</x:v>
      </x:c>
      <x:c r="J395" s="24" t="str">
        <x:v>否</x:v>
      </x:c>
      <x:c r="K395" s="24" t="str">
        <x:v>否</x:v>
      </x:c>
      <x:c r="L395" s="24" t="str"/>
      <x:c r="M395" s="28" t="n">
        <x:v>1.2</x:v>
      </x:c>
      <x:c r="N395" s="26" t="n">
        <x:v>289</x:v>
      </x:c>
      <x:c r="O395" s="26" t="n">
        <x:v>36</x:v>
      </x:c>
      <x:c r="P395" s="24" t="str">
        <x:v>是</x:v>
      </x:c>
      <x:c r="Q395" s="24" t="str">
        <x:v>A區</x:v>
      </x:c>
      <x:c r="R395" s="26" t="n">
        <x:v>30</x:v>
      </x:c>
      <x:c r="S395" s="24" t="str">
        <x:v>中頻、重物、液體</x:v>
      </x:c>
    </x:row>
    <x:row r="396">
      <x:c r="A396" s="24" t="str">
        <x:v>PX0392</x:v>
      </x:c>
      <x:c r="B396" s="24" t="str">
        <x:v>白米3kg-小包裝</x:v>
      </x:c>
      <x:c r="C396" s="24" t="str">
        <x:v>食品類</x:v>
      </x:c>
      <x:c r="D396" s="24" t="str">
        <x:v>Cluster 5</x:v>
      </x:c>
      <x:c r="E396" s="26" t="n">
        <x:v>41</x:v>
      </x:c>
      <x:c r="F396" s="26" t="n">
        <x:v>23</x:v>
      </x:c>
      <x:c r="G396" s="24" t="str">
        <x:v>中</x:v>
      </x:c>
      <x:c r="H396" s="24" t="str">
        <x:v>重</x:v>
      </x:c>
      <x:c r="I396" s="24" t="str">
        <x:v>否</x:v>
      </x:c>
      <x:c r="J396" s="24" t="str">
        <x:v>否</x:v>
      </x:c>
      <x:c r="K396" s="24" t="str">
        <x:v>否</x:v>
      </x:c>
      <x:c r="L396" s="24" t="str"/>
      <x:c r="M396" s="28" t="n">
        <x:v>1</x:v>
      </x:c>
      <x:c r="N396" s="26" t="n">
        <x:v>107</x:v>
      </x:c>
      <x:c r="O396" s="26" t="n">
        <x:v>36</x:v>
      </x:c>
      <x:c r="P396" s="24" t="str">
        <x:v>是</x:v>
      </x:c>
      <x:c r="Q396" s="24" t="str">
        <x:v>1區</x:v>
      </x:c>
      <x:c r="R396" s="26" t="n">
        <x:v>36</x:v>
      </x:c>
      <x:c r="S396" s="24" t="str">
        <x:v>中頻、重物</x:v>
      </x:c>
    </x:row>
    <x:row r="397">
      <x:c r="A397" s="24" t="str">
        <x:v>PX0393</x:v>
      </x:c>
      <x:c r="B397" s="24" t="str">
        <x:v>雨衣組-促銷組</x:v>
      </x:c>
      <x:c r="C397" s="24" t="str">
        <x:v>季節商品</x:v>
      </x:c>
      <x:c r="D397" s="24" t="str">
        <x:v>Cluster 4</x:v>
      </x:c>
      <x:c r="E397" s="26" t="n">
        <x:v>42</x:v>
      </x:c>
      <x:c r="F397" s="26" t="n">
        <x:v>9</x:v>
      </x:c>
      <x:c r="G397" s="24" t="str">
        <x:v>小</x:v>
      </x:c>
      <x:c r="H397" s="24" t="str">
        <x:v>輕</x:v>
      </x:c>
      <x:c r="I397" s="24" t="str">
        <x:v>否</x:v>
      </x:c>
      <x:c r="J397" s="24" t="str">
        <x:v>否</x:v>
      </x:c>
      <x:c r="K397" s="24" t="str">
        <x:v>是</x:v>
      </x:c>
      <x:c r="L397" s="24" t="str">
        <x:v>5-8月</x:v>
      </x:c>
      <x:c r="M397" s="28" t="n">
        <x:v>2</x:v>
      </x:c>
      <x:c r="N397" s="26" t="n">
        <x:v>138</x:v>
      </x:c>
      <x:c r="O397" s="26" t="str"/>
      <x:c r="P397" s="24" t="str">
        <x:v>否</x:v>
      </x:c>
      <x:c r="Q397" s="24" t="str">
        <x:v>遠端區</x:v>
      </x:c>
      <x:c r="R397" s="26" t="n">
        <x:v>73</x:v>
      </x:c>
      <x:c r="S397" s="24" t="str">
        <x:v>中頻、季節性</x:v>
      </x:c>
    </x:row>
    <x:row r="398">
      <x:c r="A398" s="24" t="str">
        <x:v>PX0394</x:v>
      </x:c>
      <x:c r="B398" s="24" t="str">
        <x:v>寵物尿布墊-補充包</x:v>
      </x:c>
      <x:c r="C398" s="24" t="str">
        <x:v>寵物用品</x:v>
      </x:c>
      <x:c r="D398" s="24" t="str">
        <x:v>Cluster 2</x:v>
      </x:c>
      <x:c r="E398" s="26" t="n">
        <x:v>57</x:v>
      </x:c>
      <x:c r="F398" s="26" t="n">
        <x:v>30</x:v>
      </x:c>
      <x:c r="G398" s="24" t="str">
        <x:v>大</x:v>
      </x:c>
      <x:c r="H398" s="24" t="str">
        <x:v>輕</x:v>
      </x:c>
      <x:c r="I398" s="24" t="str">
        <x:v>否</x:v>
      </x:c>
      <x:c r="J398" s="24" t="str">
        <x:v>否</x:v>
      </x:c>
      <x:c r="K398" s="24" t="str">
        <x:v>否</x:v>
      </x:c>
      <x:c r="L398" s="24" t="str"/>
      <x:c r="M398" s="28" t="n">
        <x:v>1</x:v>
      </x:c>
      <x:c r="N398" s="26" t="n">
        <x:v>165</x:v>
      </x:c>
      <x:c r="O398" s="26" t="n">
        <x:v>30</x:v>
      </x:c>
      <x:c r="P398" s="24" t="str">
        <x:v>是</x:v>
      </x:c>
      <x:c r="Q398" s="24" t="str">
        <x:v>3區</x:v>
      </x:c>
      <x:c r="R398" s="26" t="n">
        <x:v>46</x:v>
      </x:c>
      <x:c r="S398" s="24" t="str">
        <x:v>中頻、體積大</x:v>
      </x:c>
    </x:row>
    <x:row r="399">
      <x:c r="A399" s="24" t="str">
        <x:v>PX0395</x:v>
      </x:c>
      <x:c r="B399" s="24" t="str">
        <x:v>標籤紙卷-標準箱</x:v>
      </x:c>
      <x:c r="C399" s="24" t="str">
        <x:v>耗材類</x:v>
      </x:c>
      <x:c r="D399" s="24" t="str">
        <x:v>Cluster 5</x:v>
      </x:c>
      <x:c r="E399" s="26" t="n">
        <x:v>60</x:v>
      </x:c>
      <x:c r="F399" s="26" t="n">
        <x:v>41</x:v>
      </x:c>
      <x:c r="G399" s="24" t="str">
        <x:v>中</x:v>
      </x:c>
      <x:c r="H399" s="24" t="str">
        <x:v>中</x:v>
      </x:c>
      <x:c r="I399" s="24" t="str">
        <x:v>否</x:v>
      </x:c>
      <x:c r="J399" s="24" t="str">
        <x:v>否</x:v>
      </x:c>
      <x:c r="K399" s="24" t="str">
        <x:v>否</x:v>
      </x:c>
      <x:c r="L399" s="24" t="str"/>
      <x:c r="M399" s="28" t="n">
        <x:v>1</x:v>
      </x:c>
      <x:c r="N399" s="26" t="n">
        <x:v>205</x:v>
      </x:c>
      <x:c r="O399" s="26" t="n">
        <x:v>48</x:v>
      </x:c>
      <x:c r="P399" s="24" t="str">
        <x:v>是</x:v>
      </x:c>
      <x:c r="Q399" s="24" t="str">
        <x:v>遠端區</x:v>
      </x:c>
      <x:c r="R399" s="26" t="n">
        <x:v>61</x:v>
      </x:c>
      <x:c r="S399" s="24" t="str">
        <x:v>中頻</x:v>
      </x:c>
    </x:row>
    <x:row r="400">
      <x:c r="A400" s="24" t="str">
        <x:v>PX0396</x:v>
      </x:c>
      <x:c r="B400" s="24" t="str">
        <x:v>寵物罐頭箱-促銷組</x:v>
      </x:c>
      <x:c r="C400" s="24" t="str">
        <x:v>寵物用品</x:v>
      </x:c>
      <x:c r="D400" s="24" t="str">
        <x:v>Cluster 5</x:v>
      </x:c>
      <x:c r="E400" s="26" t="n">
        <x:v>33</x:v>
      </x:c>
      <x:c r="F400" s="26" t="n">
        <x:v>17</x:v>
      </x:c>
      <x:c r="G400" s="24" t="str">
        <x:v>中</x:v>
      </x:c>
      <x:c r="H400" s="24" t="str">
        <x:v>中</x:v>
      </x:c>
      <x:c r="I400" s="24" t="str">
        <x:v>否</x:v>
      </x:c>
      <x:c r="J400" s="24" t="str">
        <x:v>否</x:v>
      </x:c>
      <x:c r="K400" s="24" t="str">
        <x:v>否</x:v>
      </x:c>
      <x:c r="L400" s="24" t="str"/>
      <x:c r="M400" s="28" t="n">
        <x:v>1</x:v>
      </x:c>
      <x:c r="N400" s="26" t="n">
        <x:v>82</x:v>
      </x:c>
      <x:c r="O400" s="26" t="str"/>
      <x:c r="P400" s="24" t="str">
        <x:v>否</x:v>
      </x:c>
      <x:c r="Q400" s="24" t="str">
        <x:v>K區</x:v>
      </x:c>
      <x:c r="R400" s="26" t="n">
        <x:v>57</x:v>
      </x:c>
      <x:c r="S400" s="24" t="str">
        <x:v>低頻</x:v>
      </x:c>
    </x:row>
    <x:row r="401">
      <x:c r="A401" s="24" t="str">
        <x:v>PX0397</x:v>
      </x:c>
      <x:c r="B401" s="24" t="str">
        <x:v>寵物尿布墊-促銷組</x:v>
      </x:c>
      <x:c r="C401" s="24" t="str">
        <x:v>寵物用品</x:v>
      </x:c>
      <x:c r="D401" s="24" t="str">
        <x:v>Cluster 2</x:v>
      </x:c>
      <x:c r="E401" s="26" t="n">
        <x:v>138</x:v>
      </x:c>
      <x:c r="F401" s="26" t="n">
        <x:v>84</x:v>
      </x:c>
      <x:c r="G401" s="24" t="str">
        <x:v>大</x:v>
      </x:c>
      <x:c r="H401" s="24" t="str">
        <x:v>輕</x:v>
      </x:c>
      <x:c r="I401" s="24" t="str">
        <x:v>否</x:v>
      </x:c>
      <x:c r="J401" s="24" t="str">
        <x:v>否</x:v>
      </x:c>
      <x:c r="K401" s="24" t="str">
        <x:v>否</x:v>
      </x:c>
      <x:c r="L401" s="24" t="str"/>
      <x:c r="M401" s="28" t="n">
        <x:v>1.1</x:v>
      </x:c>
      <x:c r="N401" s="26" t="n">
        <x:v>566</x:v>
      </x:c>
      <x:c r="O401" s="26" t="n">
        <x:v>30</x:v>
      </x:c>
      <x:c r="P401" s="24" t="str">
        <x:v>是</x:v>
      </x:c>
      <x:c r="Q401" s="24" t="str">
        <x:v>K區</x:v>
      </x:c>
      <x:c r="R401" s="26" t="n">
        <x:v>53</x:v>
      </x:c>
      <x:c r="S401" s="24" t="str">
        <x:v>高頻、體積大</x:v>
      </x:c>
    </x:row>
    <x:row r="402">
      <x:c r="A402" s="24" t="str">
        <x:v>PX0398</x:v>
      </x:c>
      <x:c r="B402" s="24" t="str">
        <x:v>捲筒衛生紙-標準箱</x:v>
      </x:c>
      <x:c r="C402" s="24" t="str">
        <x:v>紙品類</x:v>
      </x:c>
      <x:c r="D402" s="24" t="str">
        <x:v>Cluster 2</x:v>
      </x:c>
      <x:c r="E402" s="26" t="n">
        <x:v>21</x:v>
      </x:c>
      <x:c r="F402" s="26" t="n">
        <x:v>13</x:v>
      </x:c>
      <x:c r="G402" s="24" t="str">
        <x:v>大</x:v>
      </x:c>
      <x:c r="H402" s="24" t="str">
        <x:v>重</x:v>
      </x:c>
      <x:c r="I402" s="24" t="str">
        <x:v>否</x:v>
      </x:c>
      <x:c r="J402" s="24" t="str">
        <x:v>是</x:v>
      </x:c>
      <x:c r="K402" s="24" t="str">
        <x:v>否</x:v>
      </x:c>
      <x:c r="L402" s="24" t="str"/>
      <x:c r="M402" s="28" t="n">
        <x:v>1</x:v>
      </x:c>
      <x:c r="N402" s="26" t="n">
        <x:v>43</x:v>
      </x:c>
      <x:c r="O402" s="26" t="n">
        <x:v>30</x:v>
      </x:c>
      <x:c r="P402" s="24" t="str">
        <x:v>是</x:v>
      </x:c>
      <x:c r="Q402" s="24" t="str">
        <x:v>彈性區</x:v>
      </x:c>
      <x:c r="R402" s="26" t="n">
        <x:v>60</x:v>
      </x:c>
      <x:c r="S402" s="24" t="str">
        <x:v>低頻、體積大、重物、易碎</x:v>
      </x:c>
    </x:row>
    <x:row r="403">
      <x:c r="A403" s="24" t="str">
        <x:v>PX0399</x:v>
      </x:c>
      <x:c r="B403" s="24" t="str">
        <x:v>漂白水-促銷組</x:v>
      </x:c>
      <x:c r="C403" s="24" t="str">
        <x:v>清潔用品</x:v>
      </x:c>
      <x:c r="D403" s="24" t="str">
        <x:v>Cluster 2</x:v>
      </x:c>
      <x:c r="E403" s="26" t="n">
        <x:v>64</x:v>
      </x:c>
      <x:c r="F403" s="26" t="n">
        <x:v>42</x:v>
      </x:c>
      <x:c r="G403" s="24" t="str">
        <x:v>中</x:v>
      </x:c>
      <x:c r="H403" s="24" t="str">
        <x:v>重</x:v>
      </x:c>
      <x:c r="I403" s="24" t="str">
        <x:v>是</x:v>
      </x:c>
      <x:c r="J403" s="24" t="str">
        <x:v>否</x:v>
      </x:c>
      <x:c r="K403" s="24" t="str">
        <x:v>否</x:v>
      </x:c>
      <x:c r="L403" s="24" t="str"/>
      <x:c r="M403" s="28" t="n">
        <x:v>1.5</x:v>
      </x:c>
      <x:c r="N403" s="26" t="n">
        <x:v>174</x:v>
      </x:c>
      <x:c r="O403" s="26" t="n">
        <x:v>40</x:v>
      </x:c>
      <x:c r="P403" s="24" t="str">
        <x:v>是</x:v>
      </x:c>
      <x:c r="Q403" s="24" t="str">
        <x:v>A區</x:v>
      </x:c>
      <x:c r="R403" s="26" t="n">
        <x:v>28</x:v>
      </x:c>
      <x:c r="S403" s="24" t="str">
        <x:v>中頻、重物、液體</x:v>
      </x:c>
    </x:row>
    <x:row r="404">
      <x:c r="A404" s="24" t="str">
        <x:v>PX0400</x:v>
      </x:c>
      <x:c r="B404" s="24" t="str">
        <x:v>碳酸飲料整箱-促銷組</x:v>
      </x:c>
      <x:c r="C404" s="24" t="str">
        <x:v>飲品類</x:v>
      </x:c>
      <x:c r="D404" s="24" t="str">
        <x:v>Cluster 2</x:v>
      </x:c>
      <x:c r="E404" s="26" t="n">
        <x:v>53</x:v>
      </x:c>
      <x:c r="F404" s="26" t="n">
        <x:v>37</x:v>
      </x:c>
      <x:c r="G404" s="24" t="str">
        <x:v>中</x:v>
      </x:c>
      <x:c r="H404" s="24" t="str">
        <x:v>重</x:v>
      </x:c>
      <x:c r="I404" s="24" t="str">
        <x:v>是</x:v>
      </x:c>
      <x:c r="J404" s="24" t="str">
        <x:v>否</x:v>
      </x:c>
      <x:c r="K404" s="24" t="str">
        <x:v>否</x:v>
      </x:c>
      <x:c r="L404" s="24" t="str"/>
      <x:c r="M404" s="28" t="n">
        <x:v>1.5</x:v>
      </x:c>
      <x:c r="N404" s="26" t="n">
        <x:v>237</x:v>
      </x:c>
      <x:c r="O404" s="26" t="n">
        <x:v>48</x:v>
      </x:c>
      <x:c r="P404" s="24" t="str">
        <x:v>是</x:v>
      </x:c>
      <x:c r="Q404" s="24" t="str">
        <x:v>A區</x:v>
      </x:c>
      <x:c r="R404" s="26" t="n">
        <x:v>25</x:v>
      </x:c>
      <x:c r="S404" s="24" t="str">
        <x:v>中頻、重物、液體</x:v>
      </x:c>
    </x:row>
    <x:row r="405">
      <x:c r="A405" s="24" t="str">
        <x:v>PX0401</x:v>
      </x:c>
      <x:c r="B405" s="24" t="str">
        <x:v>束帶組-標準箱</x:v>
      </x:c>
      <x:c r="C405" s="24" t="str">
        <x:v>耗材類</x:v>
      </x:c>
      <x:c r="D405" s="24" t="str">
        <x:v>Cluster 5</x:v>
      </x:c>
      <x:c r="E405" s="26" t="n">
        <x:v>46</x:v>
      </x:c>
      <x:c r="F405" s="26" t="n">
        <x:v>22</x:v>
      </x:c>
      <x:c r="G405" s="24" t="str">
        <x:v>小</x:v>
      </x:c>
      <x:c r="H405" s="24" t="str">
        <x:v>中</x:v>
      </x:c>
      <x:c r="I405" s="24" t="str">
        <x:v>否</x:v>
      </x:c>
      <x:c r="J405" s="24" t="str">
        <x:v>否</x:v>
      </x:c>
      <x:c r="K405" s="24" t="str">
        <x:v>否</x:v>
      </x:c>
      <x:c r="L405" s="24" t="str"/>
      <x:c r="M405" s="28" t="n">
        <x:v>1</x:v>
      </x:c>
      <x:c r="N405" s="26" t="n">
        <x:v>138</x:v>
      </x:c>
      <x:c r="O405" s="26" t="str"/>
      <x:c r="P405" s="24" t="str">
        <x:v>否</x:v>
      </x:c>
      <x:c r="Q405" s="24" t="str">
        <x:v>彈性區</x:v>
      </x:c>
      <x:c r="R405" s="26" t="n">
        <x:v>53</x:v>
      </x:c>
      <x:c r="S405" s="24" t="str">
        <x:v>中頻</x:v>
      </x:c>
    </x:row>
    <x:row r="406">
      <x:c r="A406" s="24" t="str">
        <x:v>PX0402</x:v>
      </x:c>
      <x:c r="B406" s="24" t="str">
        <x:v>束帶組-補充包</x:v>
      </x:c>
      <x:c r="C406" s="24" t="str">
        <x:v>耗材類</x:v>
      </x:c>
      <x:c r="D406" s="24" t="str">
        <x:v>Cluster 2</x:v>
      </x:c>
      <x:c r="E406" s="26" t="n">
        <x:v>161</x:v>
      </x:c>
      <x:c r="F406" s="26" t="n">
        <x:v>72</x:v>
      </x:c>
      <x:c r="G406" s="24" t="str">
        <x:v>大</x:v>
      </x:c>
      <x:c r="H406" s="24" t="str">
        <x:v>輕</x:v>
      </x:c>
      <x:c r="I406" s="24" t="str">
        <x:v>否</x:v>
      </x:c>
      <x:c r="J406" s="24" t="str">
        <x:v>否</x:v>
      </x:c>
      <x:c r="K406" s="24" t="str">
        <x:v>否</x:v>
      </x:c>
      <x:c r="L406" s="24" t="str"/>
      <x:c r="M406" s="28" t="n">
        <x:v>1.1</x:v>
      </x:c>
      <x:c r="N406" s="26" t="n">
        <x:v>731</x:v>
      </x:c>
      <x:c r="O406" s="26" t="n">
        <x:v>30</x:v>
      </x:c>
      <x:c r="P406" s="24" t="str">
        <x:v>是</x:v>
      </x:c>
      <x:c r="Q406" s="24" t="str">
        <x:v>3區</x:v>
      </x:c>
      <x:c r="R406" s="26" t="n">
        <x:v>38</x:v>
      </x:c>
      <x:c r="S406" s="24" t="str">
        <x:v>高頻、體積大</x:v>
      </x:c>
    </x:row>
    <x:row r="407">
      <x:c r="A407" s="24" t="str">
        <x:v>PX0403</x:v>
      </x:c>
      <x:c r="B407" s="24" t="str">
        <x:v>洗衣精補充包-標準箱</x:v>
      </x:c>
      <x:c r="C407" s="24" t="str">
        <x:v>清潔用品</x:v>
      </x:c>
      <x:c r="D407" s="24" t="str">
        <x:v>Cluster 1</x:v>
      </x:c>
      <x:c r="E407" s="26" t="n">
        <x:v>24</x:v>
      </x:c>
      <x:c r="F407" s="26" t="n">
        <x:v>13</x:v>
      </x:c>
      <x:c r="G407" s="24" t="str">
        <x:v>中</x:v>
      </x:c>
      <x:c r="H407" s="24" t="str">
        <x:v>中</x:v>
      </x:c>
      <x:c r="I407" s="24" t="str">
        <x:v>是</x:v>
      </x:c>
      <x:c r="J407" s="24" t="str">
        <x:v>否</x:v>
      </x:c>
      <x:c r="K407" s="24" t="str">
        <x:v>否</x:v>
      </x:c>
      <x:c r="L407" s="24" t="str"/>
      <x:c r="M407" s="28" t="n">
        <x:v>1</x:v>
      </x:c>
      <x:c r="N407" s="26" t="n">
        <x:v>109</x:v>
      </x:c>
      <x:c r="O407" s="26" t="n">
        <x:v>72</x:v>
      </x:c>
      <x:c r="P407" s="24" t="str">
        <x:v>是</x:v>
      </x:c>
      <x:c r="Q407" s="24" t="str">
        <x:v>A區</x:v>
      </x:c>
      <x:c r="R407" s="26" t="n">
        <x:v>25</x:v>
      </x:c>
      <x:c r="S407" s="24" t="str">
        <x:v>低頻、液體</x:v>
      </x:c>
    </x:row>
    <x:row r="408">
      <x:c r="A408" s="24" t="str">
        <x:v>PX0404</x:v>
      </x:c>
      <x:c r="B408" s="24" t="str">
        <x:v>抽取式衛生紙-補充包</x:v>
      </x:c>
      <x:c r="C408" s="24" t="str">
        <x:v>紙品類</x:v>
      </x:c>
      <x:c r="D408" s="24" t="str">
        <x:v>Cluster 2</x:v>
      </x:c>
      <x:c r="E408" s="26" t="n">
        <x:v>34</x:v>
      </x:c>
      <x:c r="F408" s="26" t="n">
        <x:v>18</x:v>
      </x:c>
      <x:c r="G408" s="24" t="str">
        <x:v>大</x:v>
      </x:c>
      <x:c r="H408" s="24" t="str">
        <x:v>中</x:v>
      </x:c>
      <x:c r="I408" s="24" t="str">
        <x:v>否</x:v>
      </x:c>
      <x:c r="J408" s="24" t="str">
        <x:v>否</x:v>
      </x:c>
      <x:c r="K408" s="24" t="str">
        <x:v>否</x:v>
      </x:c>
      <x:c r="L408" s="24" t="str"/>
      <x:c r="M408" s="28" t="n">
        <x:v>1</x:v>
      </x:c>
      <x:c r="N408" s="26" t="n">
        <x:v>117</x:v>
      </x:c>
      <x:c r="O408" s="26" t="n">
        <x:v>30</x:v>
      </x:c>
      <x:c r="P408" s="24" t="str">
        <x:v>是</x:v>
      </x:c>
      <x:c r="Q408" s="24" t="str">
        <x:v>遠端區</x:v>
      </x:c>
      <x:c r="R408" s="26" t="n">
        <x:v>61</x:v>
      </x:c>
      <x:c r="S408" s="24" t="str">
        <x:v>低頻、體積大</x:v>
      </x:c>
    </x:row>
    <x:row r="409">
      <x:c r="A409" s="24" t="str">
        <x:v>PX0405</x:v>
      </x:c>
      <x:c r="B409" s="24" t="str">
        <x:v>保鮮膜-小包裝</x:v>
      </x:c>
      <x:c r="C409" s="24" t="str">
        <x:v>家用品</x:v>
      </x:c>
      <x:c r="D409" s="24" t="str">
        <x:v>Cluster 5</x:v>
      </x:c>
      <x:c r="E409" s="26" t="n">
        <x:v>67</x:v>
      </x:c>
      <x:c r="F409" s="26" t="n">
        <x:v>33</x:v>
      </x:c>
      <x:c r="G409" s="24" t="str">
        <x:v>小</x:v>
      </x:c>
      <x:c r="H409" s="24" t="str">
        <x:v>輕</x:v>
      </x:c>
      <x:c r="I409" s="24" t="str">
        <x:v>否</x:v>
      </x:c>
      <x:c r="J409" s="24" t="str">
        <x:v>否</x:v>
      </x:c>
      <x:c r="K409" s="24" t="str">
        <x:v>否</x:v>
      </x:c>
      <x:c r="L409" s="24" t="str"/>
      <x:c r="M409" s="28" t="n">
        <x:v>1.1</x:v>
      </x:c>
      <x:c r="N409" s="26" t="n">
        <x:v>252</x:v>
      </x:c>
      <x:c r="O409" s="26" t="n">
        <x:v>80</x:v>
      </x:c>
      <x:c r="P409" s="24" t="str">
        <x:v>是</x:v>
      </x:c>
      <x:c r="Q409" s="24" t="str">
        <x:v>1區</x:v>
      </x:c>
      <x:c r="R409" s="26" t="n">
        <x:v>31</x:v>
      </x:c>
      <x:c r="S409" s="24" t="str">
        <x:v>中頻</x:v>
      </x:c>
    </x:row>
    <x:row r="410">
      <x:c r="A410" s="24" t="str">
        <x:v>PX0406</x:v>
      </x:c>
      <x:c r="B410" s="24" t="str">
        <x:v>貓砂10L-標準箱</x:v>
      </x:c>
      <x:c r="C410" s="24" t="str">
        <x:v>寵物用品</x:v>
      </x:c>
      <x:c r="D410" s="24" t="str">
        <x:v>Cluster 2</x:v>
      </x:c>
      <x:c r="E410" s="26" t="n">
        <x:v>74</x:v>
      </x:c>
      <x:c r="F410" s="26" t="n">
        <x:v>41</x:v>
      </x:c>
      <x:c r="G410" s="24" t="str">
        <x:v>大</x:v>
      </x:c>
      <x:c r="H410" s="24" t="str">
        <x:v>重</x:v>
      </x:c>
      <x:c r="I410" s="24" t="str">
        <x:v>否</x:v>
      </x:c>
      <x:c r="J410" s="24" t="str">
        <x:v>否</x:v>
      </x:c>
      <x:c r="K410" s="24" t="str">
        <x:v>否</x:v>
      </x:c>
      <x:c r="L410" s="24" t="str"/>
      <x:c r="M410" s="28" t="n">
        <x:v>1</x:v>
      </x:c>
      <x:c r="N410" s="26" t="n">
        <x:v>306</x:v>
      </x:c>
      <x:c r="O410" s="26" t="n">
        <x:v>18</x:v>
      </x:c>
      <x:c r="P410" s="24" t="str">
        <x:v>是</x:v>
      </x:c>
      <x:c r="Q410" s="24" t="str">
        <x:v>A區</x:v>
      </x:c>
      <x:c r="R410" s="26" t="n">
        <x:v>38</x:v>
      </x:c>
      <x:c r="S410" s="24" t="str">
        <x:v>中頻、體積大、重物</x:v>
      </x:c>
    </x:row>
    <x:row r="411">
      <x:c r="A411" s="24" t="str">
        <x:v>PX0407</x:v>
      </x:c>
      <x:c r="B411" s="24" t="str">
        <x:v>暖暖包-補充包</x:v>
      </x:c>
      <x:c r="C411" s="24" t="str">
        <x:v>季節商品</x:v>
      </x:c>
      <x:c r="D411" s="24" t="str">
        <x:v>Cluster 4</x:v>
      </x:c>
      <x:c r="E411" s="26" t="n">
        <x:v>32</x:v>
      </x:c>
      <x:c r="F411" s="26" t="n">
        <x:v>10</x:v>
      </x:c>
      <x:c r="G411" s="24" t="str">
        <x:v>中</x:v>
      </x:c>
      <x:c r="H411" s="24" t="str">
        <x:v>中</x:v>
      </x:c>
      <x:c r="I411" s="24" t="str">
        <x:v>否</x:v>
      </x:c>
      <x:c r="J411" s="24" t="str">
        <x:v>否</x:v>
      </x:c>
      <x:c r="K411" s="24" t="str">
        <x:v>是</x:v>
      </x:c>
      <x:c r="L411" s="24" t="str">
        <x:v>11-2月</x:v>
      </x:c>
      <x:c r="M411" s="28" t="n">
        <x:v>3</x:v>
      </x:c>
      <x:c r="N411" s="26" t="n">
        <x:v>119</x:v>
      </x:c>
      <x:c r="O411" s="26" t="str"/>
      <x:c r="P411" s="24" t="str">
        <x:v>否</x:v>
      </x:c>
      <x:c r="Q411" s="24" t="str">
        <x:v>遠端區</x:v>
      </x:c>
      <x:c r="R411" s="26" t="n">
        <x:v>74</x:v>
      </x:c>
      <x:c r="S411" s="24" t="str">
        <x:v>低頻、季節性</x:v>
      </x:c>
    </x:row>
    <x:row r="412">
      <x:c r="A412" s="24" t="str">
        <x:v>PX0408</x:v>
      </x:c>
      <x:c r="B412" s="24" t="str">
        <x:v>端午禮盒-小包裝</x:v>
      </x:c>
      <x:c r="C412" s="24" t="str">
        <x:v>季節商品</x:v>
      </x:c>
      <x:c r="D412" s="24" t="str">
        <x:v>Cluster 4</x:v>
      </x:c>
      <x:c r="E412" s="26" t="n">
        <x:v>164</x:v>
      </x:c>
      <x:c r="F412" s="26" t="n">
        <x:v>49</x:v>
      </x:c>
      <x:c r="G412" s="24" t="str">
        <x:v>大</x:v>
      </x:c>
      <x:c r="H412" s="24" t="str">
        <x:v>輕</x:v>
      </x:c>
      <x:c r="I412" s="24" t="str">
        <x:v>否</x:v>
      </x:c>
      <x:c r="J412" s="24" t="str">
        <x:v>是</x:v>
      </x:c>
      <x:c r="K412" s="24" t="str">
        <x:v>是</x:v>
      </x:c>
      <x:c r="L412" s="24" t="str">
        <x:v>1-2月</x:v>
      </x:c>
      <x:c r="M412" s="28" t="n">
        <x:v>2.5</x:v>
      </x:c>
      <x:c r="N412" s="26" t="n">
        <x:v>767</x:v>
      </x:c>
      <x:c r="O412" s="26" t="n">
        <x:v>30</x:v>
      </x:c>
      <x:c r="P412" s="24" t="str">
        <x:v>是</x:v>
      </x:c>
      <x:c r="Q412" s="24" t="str">
        <x:v>A區</x:v>
      </x:c>
      <x:c r="R412" s="26" t="n">
        <x:v>22</x:v>
      </x:c>
      <x:c r="S412" s="24" t="str">
        <x:v>高頻、體積大、易碎、季節性</x:v>
      </x:c>
    </x:row>
    <x:row r="413">
      <x:c r="A413" s="24" t="str">
        <x:v>PX0409</x:v>
      </x:c>
      <x:c r="B413" s="24" t="str">
        <x:v>洗衣精補充包-標準箱</x:v>
      </x:c>
      <x:c r="C413" s="24" t="str">
        <x:v>清潔用品</x:v>
      </x:c>
      <x:c r="D413" s="24" t="str">
        <x:v>Cluster 1</x:v>
      </x:c>
      <x:c r="E413" s="26" t="n">
        <x:v>72</x:v>
      </x:c>
      <x:c r="F413" s="26" t="n">
        <x:v>45</x:v>
      </x:c>
      <x:c r="G413" s="24" t="str">
        <x:v>中</x:v>
      </x:c>
      <x:c r="H413" s="24" t="str">
        <x:v>中</x:v>
      </x:c>
      <x:c r="I413" s="24" t="str">
        <x:v>是</x:v>
      </x:c>
      <x:c r="J413" s="24" t="str">
        <x:v>否</x:v>
      </x:c>
      <x:c r="K413" s="24" t="str">
        <x:v>否</x:v>
      </x:c>
      <x:c r="L413" s="24" t="str"/>
      <x:c r="M413" s="28" t="n">
        <x:v>1</x:v>
      </x:c>
      <x:c r="N413" s="26" t="n">
        <x:v>169</x:v>
      </x:c>
      <x:c r="O413" s="26" t="n">
        <x:v>72</x:v>
      </x:c>
      <x:c r="P413" s="24" t="str">
        <x:v>是</x:v>
      </x:c>
      <x:c r="Q413" s="24" t="str">
        <x:v>遠端區</x:v>
      </x:c>
      <x:c r="R413" s="26" t="n">
        <x:v>74</x:v>
      </x:c>
      <x:c r="S413" s="24" t="str">
        <x:v>中頻、液體</x:v>
      </x:c>
    </x:row>
    <x:row r="414">
      <x:c r="A414" s="24" t="str">
        <x:v>PX0410</x:v>
      </x:c>
      <x:c r="B414" s="24" t="str">
        <x:v>捲筒衛生紙-小包裝</x:v>
      </x:c>
      <x:c r="C414" s="24" t="str">
        <x:v>紙品類</x:v>
      </x:c>
      <x:c r="D414" s="24" t="str">
        <x:v>Cluster 2</x:v>
      </x:c>
      <x:c r="E414" s="26" t="n">
        <x:v>12</x:v>
      </x:c>
      <x:c r="F414" s="26" t="n">
        <x:v>6</x:v>
      </x:c>
      <x:c r="G414" s="24" t="str">
        <x:v>大</x:v>
      </x:c>
      <x:c r="H414" s="24" t="str">
        <x:v>輕</x:v>
      </x:c>
      <x:c r="I414" s="24" t="str">
        <x:v>否</x:v>
      </x:c>
      <x:c r="J414" s="24" t="str">
        <x:v>否</x:v>
      </x:c>
      <x:c r="K414" s="24" t="str">
        <x:v>否</x:v>
      </x:c>
      <x:c r="L414" s="24" t="str"/>
      <x:c r="M414" s="28" t="n">
        <x:v>1</x:v>
      </x:c>
      <x:c r="N414" s="26" t="n">
        <x:v>49</x:v>
      </x:c>
      <x:c r="O414" s="26" t="n">
        <x:v>18</x:v>
      </x:c>
      <x:c r="P414" s="24" t="str">
        <x:v>是</x:v>
      </x:c>
      <x:c r="Q414" s="24" t="str">
        <x:v>彈性區</x:v>
      </x:c>
      <x:c r="R414" s="26" t="n">
        <x:v>61</x:v>
      </x:c>
      <x:c r="S414" s="24" t="str">
        <x:v>低頻、體積大</x:v>
      </x:c>
    </x:row>
    <x:row r="415">
      <x:c r="A415" s="24" t="str">
        <x:v>PX0411</x:v>
      </x:c>
      <x:c r="B415" s="24" t="str">
        <x:v>擦手紙箱-標準箱</x:v>
      </x:c>
      <x:c r="C415" s="24" t="str">
        <x:v>紙品類</x:v>
      </x:c>
      <x:c r="D415" s="24" t="str">
        <x:v>Cluster 5</x:v>
      </x:c>
      <x:c r="E415" s="26" t="n">
        <x:v>109</x:v>
      </x:c>
      <x:c r="F415" s="26" t="n">
        <x:v>79</x:v>
      </x:c>
      <x:c r="G415" s="24" t="str">
        <x:v>小</x:v>
      </x:c>
      <x:c r="H415" s="24" t="str">
        <x:v>輕</x:v>
      </x:c>
      <x:c r="I415" s="24" t="str">
        <x:v>否</x:v>
      </x:c>
      <x:c r="J415" s="24" t="str">
        <x:v>否</x:v>
      </x:c>
      <x:c r="K415" s="24" t="str">
        <x:v>否</x:v>
      </x:c>
      <x:c r="L415" s="24" t="str"/>
      <x:c r="M415" s="28" t="n">
        <x:v>1</x:v>
      </x:c>
      <x:c r="N415" s="26" t="n">
        <x:v>312</x:v>
      </x:c>
      <x:c r="O415" s="26" t="n">
        <x:v>60</x:v>
      </x:c>
      <x:c r="P415" s="24" t="str">
        <x:v>是</x:v>
      </x:c>
      <x:c r="Q415" s="24" t="str">
        <x:v>K區</x:v>
      </x:c>
      <x:c r="R415" s="26" t="n">
        <x:v>59</x:v>
      </x:c>
      <x:c r="S415" s="24" t="str">
        <x:v>高頻</x:v>
      </x:c>
    </x:row>
    <x:row r="416">
      <x:c r="A416" s="24" t="str">
        <x:v>PX0412</x:v>
      </x:c>
      <x:c r="B416" s="24" t="str">
        <x:v>餅乾箱-小包裝</x:v>
      </x:c>
      <x:c r="C416" s="24" t="str">
        <x:v>食品類</x:v>
      </x:c>
      <x:c r="D416" s="24" t="str">
        <x:v>Cluster 5</x:v>
      </x:c>
      <x:c r="E416" s="26" t="n">
        <x:v>63</x:v>
      </x:c>
      <x:c r="F416" s="26" t="n">
        <x:v>41</x:v>
      </x:c>
      <x:c r="G416" s="24" t="str">
        <x:v>中</x:v>
      </x:c>
      <x:c r="H416" s="24" t="str">
        <x:v>中</x:v>
      </x:c>
      <x:c r="I416" s="24" t="str">
        <x:v>否</x:v>
      </x:c>
      <x:c r="J416" s="24" t="str">
        <x:v>否</x:v>
      </x:c>
      <x:c r="K416" s="24" t="str">
        <x:v>否</x:v>
      </x:c>
      <x:c r="L416" s="24" t="str"/>
      <x:c r="M416" s="28" t="n">
        <x:v>1</x:v>
      </x:c>
      <x:c r="N416" s="26" t="n">
        <x:v>190</x:v>
      </x:c>
      <x:c r="O416" s="26" t="n">
        <x:v>60</x:v>
      </x:c>
      <x:c r="P416" s="24" t="str">
        <x:v>是</x:v>
      </x:c>
      <x:c r="Q416" s="24" t="str">
        <x:v>K區</x:v>
      </x:c>
      <x:c r="R416" s="26" t="n">
        <x:v>55</x:v>
      </x:c>
      <x:c r="S416" s="24" t="str">
        <x:v>中頻</x:v>
      </x:c>
    </x:row>
    <x:row r="417">
      <x:c r="A417" s="24" t="str">
        <x:v>PX0413</x:v>
      </x:c>
      <x:c r="B417" s="24" t="str">
        <x:v>蛋捲禮盒-箱裝</x:v>
      </x:c>
      <x:c r="C417" s="24" t="str">
        <x:v>季節商品</x:v>
      </x:c>
      <x:c r="D417" s="24" t="str">
        <x:v>Cluster 4</x:v>
      </x:c>
      <x:c r="E417" s="26" t="n">
        <x:v>30</x:v>
      </x:c>
      <x:c r="F417" s="26" t="n">
        <x:v>14</x:v>
      </x:c>
      <x:c r="G417" s="24" t="str">
        <x:v>大</x:v>
      </x:c>
      <x:c r="H417" s="24" t="str">
        <x:v>重</x:v>
      </x:c>
      <x:c r="I417" s="24" t="str">
        <x:v>否</x:v>
      </x:c>
      <x:c r="J417" s="24" t="str">
        <x:v>是</x:v>
      </x:c>
      <x:c r="K417" s="24" t="str">
        <x:v>是</x:v>
      </x:c>
      <x:c r="L417" s="24" t="str">
        <x:v>1-2月</x:v>
      </x:c>
      <x:c r="M417" s="28" t="n">
        <x:v>2</x:v>
      </x:c>
      <x:c r="N417" s="26" t="n">
        <x:v>112</x:v>
      </x:c>
      <x:c r="O417" s="26" t="n">
        <x:v>24</x:v>
      </x:c>
      <x:c r="P417" s="24" t="str">
        <x:v>是</x:v>
      </x:c>
      <x:c r="Q417" s="24" t="str">
        <x:v>遠端區</x:v>
      </x:c>
      <x:c r="R417" s="26" t="n">
        <x:v>68</x:v>
      </x:c>
      <x:c r="S417" s="24" t="str">
        <x:v>低頻、體積大、重物、易碎、季節性</x:v>
      </x:c>
    </x:row>
    <x:row r="418">
      <x:c r="A418" s="24" t="str">
        <x:v>PX0414</x:v>
      </x:c>
      <x:c r="B418" s="24" t="str">
        <x:v>地板清潔劑-箱裝</x:v>
      </x:c>
      <x:c r="C418" s="24" t="str">
        <x:v>清潔用品</x:v>
      </x:c>
      <x:c r="D418" s="24" t="str">
        <x:v>Cluster 1</x:v>
      </x:c>
      <x:c r="E418" s="26" t="n">
        <x:v>37</x:v>
      </x:c>
      <x:c r="F418" s="26" t="n">
        <x:v>20</x:v>
      </x:c>
      <x:c r="G418" s="24" t="str">
        <x:v>中</x:v>
      </x:c>
      <x:c r="H418" s="24" t="str">
        <x:v>中</x:v>
      </x:c>
      <x:c r="I418" s="24" t="str">
        <x:v>是</x:v>
      </x:c>
      <x:c r="J418" s="24" t="str">
        <x:v>否</x:v>
      </x:c>
      <x:c r="K418" s="24" t="str">
        <x:v>否</x:v>
      </x:c>
      <x:c r="L418" s="24" t="str"/>
      <x:c r="M418" s="28" t="n">
        <x:v>1.1</x:v>
      </x:c>
      <x:c r="N418" s="26" t="n">
        <x:v>168</x:v>
      </x:c>
      <x:c r="O418" s="26" t="n">
        <x:v>80</x:v>
      </x:c>
      <x:c r="P418" s="24" t="str">
        <x:v>是</x:v>
      </x:c>
      <x:c r="Q418" s="24" t="str">
        <x:v>K區</x:v>
      </x:c>
      <x:c r="R418" s="26" t="n">
        <x:v>39</x:v>
      </x:c>
      <x:c r="S418" s="24" t="str">
        <x:v>中頻、液體</x:v>
      </x:c>
    </x:row>
    <x:row r="419">
      <x:c r="A419" s="24" t="str">
        <x:v>PX0415</x:v>
      </x:c>
      <x:c r="B419" s="24" t="str">
        <x:v>面紙箱-家庭號</x:v>
      </x:c>
      <x:c r="C419" s="24" t="str">
        <x:v>紙品類</x:v>
      </x:c>
      <x:c r="D419" s="24" t="str">
        <x:v>Cluster 5</x:v>
      </x:c>
      <x:c r="E419" s="26" t="n">
        <x:v>7</x:v>
      </x:c>
      <x:c r="F419" s="26" t="n">
        <x:v>4</x:v>
      </x:c>
      <x:c r="G419" s="24" t="str">
        <x:v>小</x:v>
      </x:c>
      <x:c r="H419" s="24" t="str">
        <x:v>輕</x:v>
      </x:c>
      <x:c r="I419" s="24" t="str">
        <x:v>否</x:v>
      </x:c>
      <x:c r="J419" s="24" t="str">
        <x:v>否</x:v>
      </x:c>
      <x:c r="K419" s="24" t="str">
        <x:v>否</x:v>
      </x:c>
      <x:c r="L419" s="24" t="str"/>
      <x:c r="M419" s="28" t="n">
        <x:v>1</x:v>
      </x:c>
      <x:c r="N419" s="26" t="n">
        <x:v>32</x:v>
      </x:c>
      <x:c r="O419" s="26" t="str"/>
      <x:c r="P419" s="24" t="str">
        <x:v>否</x:v>
      </x:c>
      <x:c r="Q419" s="24" t="str">
        <x:v>彈性區</x:v>
      </x:c>
      <x:c r="R419" s="26" t="n">
        <x:v>63</x:v>
      </x:c>
      <x:c r="S419" s="24" t="str">
        <x:v>低頻</x:v>
      </x:c>
    </x:row>
    <x:row r="420">
      <x:c r="A420" s="24" t="str">
        <x:v>PX0416</x:v>
      </x:c>
      <x:c r="B420" s="24" t="str">
        <x:v>白米3kg-標準箱</x:v>
      </x:c>
      <x:c r="C420" s="24" t="str">
        <x:v>食品類</x:v>
      </x:c>
      <x:c r="D420" s="24" t="str">
        <x:v>Cluster 2</x:v>
      </x:c>
      <x:c r="E420" s="26" t="n">
        <x:v>79</x:v>
      </x:c>
      <x:c r="F420" s="26" t="n">
        <x:v>41</x:v>
      </x:c>
      <x:c r="G420" s="24" t="str">
        <x:v>中</x:v>
      </x:c>
      <x:c r="H420" s="24" t="str">
        <x:v>重</x:v>
      </x:c>
      <x:c r="I420" s="24" t="str">
        <x:v>否</x:v>
      </x:c>
      <x:c r="J420" s="24" t="str">
        <x:v>否</x:v>
      </x:c>
      <x:c r="K420" s="24" t="str">
        <x:v>否</x:v>
      </x:c>
      <x:c r="L420" s="24" t="str"/>
      <x:c r="M420" s="28" t="n">
        <x:v>1</x:v>
      </x:c>
      <x:c r="N420" s="26" t="n">
        <x:v>355</x:v>
      </x:c>
      <x:c r="O420" s="26" t="n">
        <x:v>40</x:v>
      </x:c>
      <x:c r="P420" s="24" t="str">
        <x:v>是</x:v>
      </x:c>
      <x:c r="Q420" s="24" t="str">
        <x:v>3區</x:v>
      </x:c>
      <x:c r="R420" s="26" t="n">
        <x:v>48</x:v>
      </x:c>
      <x:c r="S420" s="24" t="str">
        <x:v>中頻、重物</x:v>
      </x:c>
    </x:row>
    <x:row r="421">
      <x:c r="A421" s="24" t="str">
        <x:v>PX0417</x:v>
      </x:c>
      <x:c r="B421" s="24" t="str">
        <x:v>咖啡罐裝整箱-補充包</x:v>
      </x:c>
      <x:c r="C421" s="24" t="str">
        <x:v>飲品類</x:v>
      </x:c>
      <x:c r="D421" s="24" t="str">
        <x:v>Cluster 1</x:v>
      </x:c>
      <x:c r="E421" s="26" t="n">
        <x:v>78</x:v>
      </x:c>
      <x:c r="F421" s="26" t="n">
        <x:v>54</x:v>
      </x:c>
      <x:c r="G421" s="24" t="str">
        <x:v>中</x:v>
      </x:c>
      <x:c r="H421" s="24" t="str">
        <x:v>中</x:v>
      </x:c>
      <x:c r="I421" s="24" t="str">
        <x:v>是</x:v>
      </x:c>
      <x:c r="J421" s="24" t="str">
        <x:v>否</x:v>
      </x:c>
      <x:c r="K421" s="24" t="str">
        <x:v>否</x:v>
      </x:c>
      <x:c r="L421" s="24" t="str"/>
      <x:c r="M421" s="28" t="n">
        <x:v>1</x:v>
      </x:c>
      <x:c r="N421" s="26" t="n">
        <x:v>343</x:v>
      </x:c>
      <x:c r="O421" s="26" t="n">
        <x:v>60</x:v>
      </x:c>
      <x:c r="P421" s="24" t="str">
        <x:v>是</x:v>
      </x:c>
      <x:c r="Q421" s="24" t="str">
        <x:v>A區</x:v>
      </x:c>
      <x:c r="R421" s="26" t="n">
        <x:v>37</x:v>
      </x:c>
      <x:c r="S421" s="24" t="str">
        <x:v>中頻、液體</x:v>
      </x:c>
    </x:row>
    <x:row r="422">
      <x:c r="A422" s="24" t="str">
        <x:v>PX0418</x:v>
      </x:c>
      <x:c r="B422" s="24" t="str">
        <x:v>果汁飲料整箱-標準箱</x:v>
      </x:c>
      <x:c r="C422" s="24" t="str">
        <x:v>飲品類</x:v>
      </x:c>
      <x:c r="D422" s="24" t="str">
        <x:v>Cluster 2</x:v>
      </x:c>
      <x:c r="E422" s="26" t="n">
        <x:v>60</x:v>
      </x:c>
      <x:c r="F422" s="26" t="n">
        <x:v>34</x:v>
      </x:c>
      <x:c r="G422" s="24" t="str">
        <x:v>中</x:v>
      </x:c>
      <x:c r="H422" s="24" t="str">
        <x:v>重</x:v>
      </x:c>
      <x:c r="I422" s="24" t="str">
        <x:v>是</x:v>
      </x:c>
      <x:c r="J422" s="24" t="str">
        <x:v>否</x:v>
      </x:c>
      <x:c r="K422" s="24" t="str">
        <x:v>否</x:v>
      </x:c>
      <x:c r="L422" s="24" t="str"/>
      <x:c r="M422" s="28" t="n">
        <x:v>1.5</x:v>
      </x:c>
      <x:c r="N422" s="26" t="n">
        <x:v>157</x:v>
      </x:c>
      <x:c r="O422" s="26" t="n">
        <x:v>32</x:v>
      </x:c>
      <x:c r="P422" s="24" t="str">
        <x:v>是</x:v>
      </x:c>
      <x:c r="Q422" s="24" t="str">
        <x:v>A區</x:v>
      </x:c>
      <x:c r="R422" s="26" t="n">
        <x:v>25</x:v>
      </x:c>
      <x:c r="S422" s="24" t="str">
        <x:v>中頻、重物、液體</x:v>
      </x:c>
    </x:row>
    <x:row r="423">
      <x:c r="A423" s="24" t="str">
        <x:v>PX0419</x:v>
      </x:c>
      <x:c r="B423" s="24" t="str">
        <x:v>保鮮盒-補充包</x:v>
      </x:c>
      <x:c r="C423" s="24" t="str">
        <x:v>家用品</x:v>
      </x:c>
      <x:c r="D423" s="24" t="str">
        <x:v>Cluster 5</x:v>
      </x:c>
      <x:c r="E423" s="26" t="n">
        <x:v>46</x:v>
      </x:c>
      <x:c r="F423" s="26" t="n">
        <x:v>27</x:v>
      </x:c>
      <x:c r="G423" s="24" t="str">
        <x:v>中</x:v>
      </x:c>
      <x:c r="H423" s="24" t="str">
        <x:v>中</x:v>
      </x:c>
      <x:c r="I423" s="24" t="str">
        <x:v>否</x:v>
      </x:c>
      <x:c r="J423" s="24" t="str">
        <x:v>否</x:v>
      </x:c>
      <x:c r="K423" s="24" t="str">
        <x:v>否</x:v>
      </x:c>
      <x:c r="L423" s="24" t="str"/>
      <x:c r="M423" s="28" t="n">
        <x:v>1.1</x:v>
      </x:c>
      <x:c r="N423" s="26" t="n">
        <x:v>158</x:v>
      </x:c>
      <x:c r="O423" s="26" t="str"/>
      <x:c r="P423" s="24" t="str">
        <x:v>否</x:v>
      </x:c>
      <x:c r="Q423" s="24" t="str">
        <x:v>1區</x:v>
      </x:c>
      <x:c r="R423" s="26" t="n">
        <x:v>21</x:v>
      </x:c>
      <x:c r="S423" s="24" t="str">
        <x:v>中頻</x:v>
      </x:c>
    </x:row>
    <x:row r="424">
      <x:c r="A424" s="24" t="str">
        <x:v>PX0420</x:v>
      </x:c>
      <x:c r="B424" s="24" t="str">
        <x:v>寵物飼料5kg-家庭號</x:v>
      </x:c>
      <x:c r="C424" s="24" t="str">
        <x:v>寵物用品</x:v>
      </x:c>
      <x:c r="D424" s="24" t="str">
        <x:v>Cluster 2</x:v>
      </x:c>
      <x:c r="E424" s="26" t="n">
        <x:v>48</x:v>
      </x:c>
      <x:c r="F424" s="26" t="n">
        <x:v>22</x:v>
      </x:c>
      <x:c r="G424" s="24" t="str">
        <x:v>大</x:v>
      </x:c>
      <x:c r="H424" s="24" t="str">
        <x:v>重</x:v>
      </x:c>
      <x:c r="I424" s="24" t="str">
        <x:v>否</x:v>
      </x:c>
      <x:c r="J424" s="24" t="str">
        <x:v>否</x:v>
      </x:c>
      <x:c r="K424" s="24" t="str">
        <x:v>否</x:v>
      </x:c>
      <x:c r="L424" s="24" t="str"/>
      <x:c r="M424" s="28" t="n">
        <x:v>1</x:v>
      </x:c>
      <x:c r="N424" s="26" t="n">
        <x:v>118</x:v>
      </x:c>
      <x:c r="O424" s="26" t="n">
        <x:v>30</x:v>
      </x:c>
      <x:c r="P424" s="24" t="str">
        <x:v>是</x:v>
      </x:c>
      <x:c r="Q424" s="24" t="str">
        <x:v>遠端區</x:v>
      </x:c>
      <x:c r="R424" s="26" t="n">
        <x:v>57</x:v>
      </x:c>
      <x:c r="S424" s="24" t="str">
        <x:v>中頻、體積大、重物</x:v>
      </x:c>
    </x:row>
    <x:row r="425">
      <x:c r="A425" s="24" t="str">
        <x:v>PX0421</x:v>
      </x:c>
      <x:c r="B425" s="24" t="str">
        <x:v>寵物罐頭箱-小包裝</x:v>
      </x:c>
      <x:c r="C425" s="24" t="str">
        <x:v>寵物用品</x:v>
      </x:c>
      <x:c r="D425" s="24" t="str">
        <x:v>Cluster 5</x:v>
      </x:c>
      <x:c r="E425" s="26" t="n">
        <x:v>88</x:v>
      </x:c>
      <x:c r="F425" s="26" t="n">
        <x:v>54</x:v>
      </x:c>
      <x:c r="G425" s="24" t="str">
        <x:v>中</x:v>
      </x:c>
      <x:c r="H425" s="24" t="str">
        <x:v>中</x:v>
      </x:c>
      <x:c r="I425" s="24" t="str">
        <x:v>否</x:v>
      </x:c>
      <x:c r="J425" s="24" t="str">
        <x:v>否</x:v>
      </x:c>
      <x:c r="K425" s="24" t="str">
        <x:v>否</x:v>
      </x:c>
      <x:c r="L425" s="24" t="str"/>
      <x:c r="M425" s="28" t="n">
        <x:v>1</x:v>
      </x:c>
      <x:c r="N425" s="26" t="n">
        <x:v>385</x:v>
      </x:c>
      <x:c r="O425" s="26" t="n">
        <x:v>80</x:v>
      </x:c>
      <x:c r="P425" s="24" t="str">
        <x:v>是</x:v>
      </x:c>
      <x:c r="Q425" s="24" t="str">
        <x:v>遠端區</x:v>
      </x:c>
      <x:c r="R425" s="26" t="n">
        <x:v>62</x:v>
      </x:c>
      <x:c r="S425" s="24" t="str">
        <x:v>高頻</x:v>
      </x:c>
    </x:row>
    <x:row r="426">
      <x:c r="A426" s="24" t="str">
        <x:v>PX0422</x:v>
      </x:c>
      <x:c r="B426" s="24" t="str">
        <x:v>成人紙尿褲-補充包</x:v>
      </x:c>
      <x:c r="C426" s="24" t="str">
        <x:v>日用品</x:v>
      </x:c>
      <x:c r="D426" s="24" t="str">
        <x:v>Cluster 2</x:v>
      </x:c>
      <x:c r="E426" s="26" t="n">
        <x:v>51</x:v>
      </x:c>
      <x:c r="F426" s="26" t="n">
        <x:v>28</x:v>
      </x:c>
      <x:c r="G426" s="24" t="str">
        <x:v>大</x:v>
      </x:c>
      <x:c r="H426" s="24" t="str">
        <x:v>輕</x:v>
      </x:c>
      <x:c r="I426" s="24" t="str">
        <x:v>否</x:v>
      </x:c>
      <x:c r="J426" s="24" t="str">
        <x:v>否</x:v>
      </x:c>
      <x:c r="K426" s="24" t="str">
        <x:v>否</x:v>
      </x:c>
      <x:c r="L426" s="24" t="str"/>
      <x:c r="M426" s="28" t="n">
        <x:v>1</x:v>
      </x:c>
      <x:c r="N426" s="26" t="n">
        <x:v>137</x:v>
      </x:c>
      <x:c r="O426" s="26" t="n">
        <x:v>18</x:v>
      </x:c>
      <x:c r="P426" s="24" t="str">
        <x:v>是</x:v>
      </x:c>
      <x:c r="Q426" s="24" t="str">
        <x:v>3區</x:v>
      </x:c>
      <x:c r="R426" s="26" t="n">
        <x:v>50</x:v>
      </x:c>
      <x:c r="S426" s="24" t="str">
        <x:v>中頻、體積大</x:v>
      </x:c>
    </x:row>
    <x:row r="427">
      <x:c r="A427" s="24" t="str">
        <x:v>PX0423</x:v>
      </x:c>
      <x:c r="B427" s="24" t="str">
        <x:v>雨衣組-箱裝</x:v>
      </x:c>
      <x:c r="C427" s="24" t="str">
        <x:v>季節商品</x:v>
      </x:c>
      <x:c r="D427" s="24" t="str">
        <x:v>Cluster 4</x:v>
      </x:c>
      <x:c r="E427" s="26" t="n">
        <x:v>31</x:v>
      </x:c>
      <x:c r="F427" s="26" t="n">
        <x:v>8</x:v>
      </x:c>
      <x:c r="G427" s="24" t="str">
        <x:v>小</x:v>
      </x:c>
      <x:c r="H427" s="24" t="str">
        <x:v>中</x:v>
      </x:c>
      <x:c r="I427" s="24" t="str">
        <x:v>否</x:v>
      </x:c>
      <x:c r="J427" s="24" t="str">
        <x:v>否</x:v>
      </x:c>
      <x:c r="K427" s="24" t="str">
        <x:v>是</x:v>
      </x:c>
      <x:c r="L427" s="24" t="str">
        <x:v>5-8月</x:v>
      </x:c>
      <x:c r="M427" s="28" t="n">
        <x:v>1.8</x:v>
      </x:c>
      <x:c r="N427" s="26" t="n">
        <x:v>95</x:v>
      </x:c>
      <x:c r="O427" s="26" t="str"/>
      <x:c r="P427" s="24" t="str">
        <x:v>否</x:v>
      </x:c>
      <x:c r="Q427" s="24" t="str">
        <x:v>彈性區</x:v>
      </x:c>
      <x:c r="R427" s="26" t="n">
        <x:v>49</x:v>
      </x:c>
      <x:c r="S427" s="24" t="str">
        <x:v>低頻、季節性</x:v>
      </x:c>
    </x:row>
    <x:row r="428">
      <x:c r="A428" s="24" t="str">
        <x:v>PX0424</x:v>
      </x:c>
      <x:c r="B428" s="24" t="str">
        <x:v>沐浴乳-補充包</x:v>
      </x:c>
      <x:c r="C428" s="24" t="str">
        <x:v>日用品</x:v>
      </x:c>
      <x:c r="D428" s="24" t="str">
        <x:v>Cluster 3</x:v>
      </x:c>
      <x:c r="E428" s="26" t="n">
        <x:v>106</x:v>
      </x:c>
      <x:c r="F428" s="26" t="n">
        <x:v>79</x:v>
      </x:c>
      <x:c r="G428" s="24" t="str">
        <x:v>小</x:v>
      </x:c>
      <x:c r="H428" s="24" t="str">
        <x:v>中</x:v>
      </x:c>
      <x:c r="I428" s="24" t="str">
        <x:v>是</x:v>
      </x:c>
      <x:c r="J428" s="24" t="str">
        <x:v>否</x:v>
      </x:c>
      <x:c r="K428" s="24" t="str">
        <x:v>否</x:v>
      </x:c>
      <x:c r="L428" s="24" t="str"/>
      <x:c r="M428" s="28" t="n">
        <x:v>1</x:v>
      </x:c>
      <x:c r="N428" s="26" t="n">
        <x:v>427</x:v>
      </x:c>
      <x:c r="O428" s="26" t="n">
        <x:v>60</x:v>
      </x:c>
      <x:c r="P428" s="24" t="str">
        <x:v>是</x:v>
      </x:c>
      <x:c r="Q428" s="24" t="str">
        <x:v>1區</x:v>
      </x:c>
      <x:c r="R428" s="26" t="n">
        <x:v>37</x:v>
      </x:c>
      <x:c r="S428" s="24" t="str">
        <x:v>高頻、液體</x:v>
      </x:c>
    </x:row>
    <x:row r="429">
      <x:c r="A429" s="24" t="str">
        <x:v>PX0425</x:v>
      </x:c>
      <x:c r="B429" s="24" t="str">
        <x:v>泡麵箱-促銷組</x:v>
      </x:c>
      <x:c r="C429" s="24" t="str">
        <x:v>食品類</x:v>
      </x:c>
      <x:c r="D429" s="24" t="str">
        <x:v>Cluster 5</x:v>
      </x:c>
      <x:c r="E429" s="26" t="n">
        <x:v>101</x:v>
      </x:c>
      <x:c r="F429" s="26" t="n">
        <x:v>48</x:v>
      </x:c>
      <x:c r="G429" s="24" t="str">
        <x:v>中</x:v>
      </x:c>
      <x:c r="H429" s="24" t="str">
        <x:v>中</x:v>
      </x:c>
      <x:c r="I429" s="24" t="str">
        <x:v>否</x:v>
      </x:c>
      <x:c r="J429" s="24" t="str">
        <x:v>否</x:v>
      </x:c>
      <x:c r="K429" s="24" t="str">
        <x:v>否</x:v>
      </x:c>
      <x:c r="L429" s="24" t="str"/>
      <x:c r="M429" s="28" t="n">
        <x:v>1.1</x:v>
      </x:c>
      <x:c r="N429" s="26" t="n">
        <x:v>211</x:v>
      </x:c>
      <x:c r="O429" s="26" t="n">
        <x:v>48</x:v>
      </x:c>
      <x:c r="P429" s="24" t="str">
        <x:v>是</x:v>
      </x:c>
      <x:c r="Q429" s="24" t="str">
        <x:v>3區</x:v>
      </x:c>
      <x:c r="R429" s="26" t="n">
        <x:v>49</x:v>
      </x:c>
      <x:c r="S429" s="24" t="str">
        <x:v>高頻</x:v>
      </x:c>
    </x:row>
    <x:row r="430">
      <x:c r="A430" s="24" t="str">
        <x:v>PX0426</x:v>
      </x:c>
      <x:c r="B430" s="24" t="str">
        <x:v>抽取式衛生紙-促銷組</x:v>
      </x:c>
      <x:c r="C430" s="24" t="str">
        <x:v>紙品類</x:v>
      </x:c>
      <x:c r="D430" s="24" t="str">
        <x:v>Cluster 2</x:v>
      </x:c>
      <x:c r="E430" s="26" t="n">
        <x:v>18</x:v>
      </x:c>
      <x:c r="F430" s="26" t="n">
        <x:v>8</x:v>
      </x:c>
      <x:c r="G430" s="24" t="str">
        <x:v>大</x:v>
      </x:c>
      <x:c r="H430" s="24" t="str">
        <x:v>中</x:v>
      </x:c>
      <x:c r="I430" s="24" t="str">
        <x:v>否</x:v>
      </x:c>
      <x:c r="J430" s="24" t="str">
        <x:v>否</x:v>
      </x:c>
      <x:c r="K430" s="24" t="str">
        <x:v>否</x:v>
      </x:c>
      <x:c r="L430" s="24" t="str"/>
      <x:c r="M430" s="28" t="n">
        <x:v>1</x:v>
      </x:c>
      <x:c r="N430" s="26" t="n">
        <x:v>59</x:v>
      </x:c>
      <x:c r="O430" s="26" t="n">
        <x:v>20</x:v>
      </x:c>
      <x:c r="P430" s="24" t="str">
        <x:v>是</x:v>
      </x:c>
      <x:c r="Q430" s="24" t="str">
        <x:v>彈性區</x:v>
      </x:c>
      <x:c r="R430" s="26" t="n">
        <x:v>55</x:v>
      </x:c>
      <x:c r="S430" s="24" t="str">
        <x:v>低頻、體積大</x:v>
      </x:c>
    </x:row>
    <x:row r="431">
      <x:c r="A431" s="24" t="str">
        <x:v>PX0427</x:v>
      </x:c>
      <x:c r="B431" s="24" t="str">
        <x:v>標籤紙卷-箱裝</x:v>
      </x:c>
      <x:c r="C431" s="24" t="str">
        <x:v>耗材類</x:v>
      </x:c>
      <x:c r="D431" s="24" t="str">
        <x:v>Cluster 2</x:v>
      </x:c>
      <x:c r="E431" s="26" t="n">
        <x:v>10</x:v>
      </x:c>
      <x:c r="F431" s="26" t="n">
        <x:v>5</x:v>
      </x:c>
      <x:c r="G431" s="24" t="str">
        <x:v>大</x:v>
      </x:c>
      <x:c r="H431" s="24" t="str">
        <x:v>輕</x:v>
      </x:c>
      <x:c r="I431" s="24" t="str">
        <x:v>否</x:v>
      </x:c>
      <x:c r="J431" s="24" t="str">
        <x:v>否</x:v>
      </x:c>
      <x:c r="K431" s="24" t="str">
        <x:v>否</x:v>
      </x:c>
      <x:c r="L431" s="24" t="str"/>
      <x:c r="M431" s="28" t="n">
        <x:v>1</x:v>
      </x:c>
      <x:c r="N431" s="26" t="n">
        <x:v>36</x:v>
      </x:c>
      <x:c r="O431" s="26" t="n">
        <x:v>30</x:v>
      </x:c>
      <x:c r="P431" s="24" t="str">
        <x:v>是</x:v>
      </x:c>
      <x:c r="Q431" s="24" t="str">
        <x:v>遠端區</x:v>
      </x:c>
      <x:c r="R431" s="26" t="n">
        <x:v>60</x:v>
      </x:c>
      <x:c r="S431" s="24" t="str">
        <x:v>低頻、體積大</x:v>
      </x:c>
    </x:row>
    <x:row r="432">
      <x:c r="A432" s="24" t="str">
        <x:v>PX0428</x:v>
      </x:c>
      <x:c r="B432" s="24" t="str">
        <x:v>中秋禮盒-補充包</x:v>
      </x:c>
      <x:c r="C432" s="24" t="str">
        <x:v>季節商品</x:v>
      </x:c>
      <x:c r="D432" s="24" t="str">
        <x:v>Cluster 4</x:v>
      </x:c>
      <x:c r="E432" s="26" t="n">
        <x:v>40</x:v>
      </x:c>
      <x:c r="F432" s="26" t="n">
        <x:v>12</x:v>
      </x:c>
      <x:c r="G432" s="24" t="str">
        <x:v>大</x:v>
      </x:c>
      <x:c r="H432" s="24" t="str">
        <x:v>輕</x:v>
      </x:c>
      <x:c r="I432" s="24" t="str">
        <x:v>否</x:v>
      </x:c>
      <x:c r="J432" s="24" t="str">
        <x:v>是</x:v>
      </x:c>
      <x:c r="K432" s="24" t="str">
        <x:v>是</x:v>
      </x:c>
      <x:c r="L432" s="24" t="str">
        <x:v>1-2月</x:v>
      </x:c>
      <x:c r="M432" s="28" t="n">
        <x:v>2.5</x:v>
      </x:c>
      <x:c r="N432" s="26" t="n">
        <x:v>199</x:v>
      </x:c>
      <x:c r="O432" s="26" t="n">
        <x:v>24</x:v>
      </x:c>
      <x:c r="P432" s="24" t="str">
        <x:v>是</x:v>
      </x:c>
      <x:c r="Q432" s="24" t="str">
        <x:v>A區</x:v>
      </x:c>
      <x:c r="R432" s="26" t="n">
        <x:v>38</x:v>
      </x:c>
      <x:c r="S432" s="24" t="str">
        <x:v>中頻、體積大、易碎、季節性</x:v>
      </x:c>
    </x:row>
    <x:row r="433">
      <x:c r="A433" s="24" t="str">
        <x:v>PX0429</x:v>
      </x:c>
      <x:c r="B433" s="24" t="str">
        <x:v>洗碗精-補充包</x:v>
      </x:c>
      <x:c r="C433" s="24" t="str">
        <x:v>清潔用品</x:v>
      </x:c>
      <x:c r="D433" s="24" t="str">
        <x:v>Cluster 3</x:v>
      </x:c>
      <x:c r="E433" s="26" t="n">
        <x:v>83</x:v>
      </x:c>
      <x:c r="F433" s="26" t="n">
        <x:v>59</x:v>
      </x:c>
      <x:c r="G433" s="24" t="str">
        <x:v>小</x:v>
      </x:c>
      <x:c r="H433" s="24" t="str">
        <x:v>中</x:v>
      </x:c>
      <x:c r="I433" s="24" t="str">
        <x:v>是</x:v>
      </x:c>
      <x:c r="J433" s="24" t="str">
        <x:v>否</x:v>
      </x:c>
      <x:c r="K433" s="24" t="str">
        <x:v>否</x:v>
      </x:c>
      <x:c r="L433" s="24" t="str"/>
      <x:c r="M433" s="28" t="n">
        <x:v>1</x:v>
      </x:c>
      <x:c r="N433" s="26" t="n">
        <x:v>357</x:v>
      </x:c>
      <x:c r="O433" s="26" t="n">
        <x:v>72</x:v>
      </x:c>
      <x:c r="P433" s="24" t="str">
        <x:v>是</x:v>
      </x:c>
      <x:c r="Q433" s="24" t="str">
        <x:v>彈性區</x:v>
      </x:c>
      <x:c r="R433" s="26" t="n">
        <x:v>58</x:v>
      </x:c>
      <x:c r="S433" s="24" t="str">
        <x:v>高頻、液體</x:v>
      </x:c>
    </x:row>
    <x:row r="434">
      <x:c r="A434" s="24" t="str">
        <x:v>PX0430</x:v>
      </x:c>
      <x:c r="B434" s="24" t="str">
        <x:v>尿布箱-促銷組</x:v>
      </x:c>
      <x:c r="C434" s="24" t="str">
        <x:v>日用品</x:v>
      </x:c>
      <x:c r="D434" s="24" t="str">
        <x:v>Cluster 2</x:v>
      </x:c>
      <x:c r="E434" s="26" t="n">
        <x:v>30</x:v>
      </x:c>
      <x:c r="F434" s="26" t="n">
        <x:v>21</x:v>
      </x:c>
      <x:c r="G434" s="24" t="str">
        <x:v>大</x:v>
      </x:c>
      <x:c r="H434" s="24" t="str">
        <x:v>輕</x:v>
      </x:c>
      <x:c r="I434" s="24" t="str">
        <x:v>否</x:v>
      </x:c>
      <x:c r="J434" s="24" t="str">
        <x:v>否</x:v>
      </x:c>
      <x:c r="K434" s="24" t="str">
        <x:v>否</x:v>
      </x:c>
      <x:c r="L434" s="24" t="str"/>
      <x:c r="M434" s="28" t="n">
        <x:v>1</x:v>
      </x:c>
      <x:c r="N434" s="26" t="n">
        <x:v>136</x:v>
      </x:c>
      <x:c r="O434" s="26" t="n">
        <x:v>18</x:v>
      </x:c>
      <x:c r="P434" s="24" t="str">
        <x:v>是</x:v>
      </x:c>
      <x:c r="Q434" s="24" t="str">
        <x:v>3區</x:v>
      </x:c>
      <x:c r="R434" s="26" t="n">
        <x:v>43</x:v>
      </x:c>
      <x:c r="S434" s="24" t="str">
        <x:v>低頻、體積大</x:v>
      </x:c>
    </x:row>
    <x:row r="435">
      <x:c r="A435" s="24" t="str">
        <x:v>PX0431</x:v>
      </x:c>
      <x:c r="B435" s="24" t="str">
        <x:v>麥片箱-標準箱</x:v>
      </x:c>
      <x:c r="C435" s="24" t="str">
        <x:v>食品類</x:v>
      </x:c>
      <x:c r="D435" s="24" t="str">
        <x:v>Cluster 5</x:v>
      </x:c>
      <x:c r="E435" s="26" t="n">
        <x:v>120</x:v>
      </x:c>
      <x:c r="F435" s="26" t="n">
        <x:v>54</x:v>
      </x:c>
      <x:c r="G435" s="24" t="str">
        <x:v>中</x:v>
      </x:c>
      <x:c r="H435" s="24" t="str">
        <x:v>中</x:v>
      </x:c>
      <x:c r="I435" s="24" t="str">
        <x:v>否</x:v>
      </x:c>
      <x:c r="J435" s="24" t="str">
        <x:v>否</x:v>
      </x:c>
      <x:c r="K435" s="24" t="str">
        <x:v>否</x:v>
      </x:c>
      <x:c r="L435" s="24" t="str"/>
      <x:c r="M435" s="28" t="n">
        <x:v>1.1</x:v>
      </x:c>
      <x:c r="N435" s="26" t="n">
        <x:v>258</x:v>
      </x:c>
      <x:c r="O435" s="26" t="n">
        <x:v>80</x:v>
      </x:c>
      <x:c r="P435" s="24" t="str">
        <x:v>是</x:v>
      </x:c>
      <x:c r="Q435" s="24" t="str">
        <x:v>彈性區</x:v>
      </x:c>
      <x:c r="R435" s="26" t="n">
        <x:v>54</x:v>
      </x:c>
      <x:c r="S435" s="24" t="str">
        <x:v>高頻</x:v>
      </x:c>
    </x:row>
    <x:row r="436">
      <x:c r="A436" s="24" t="str">
        <x:v>PX0432</x:v>
      </x:c>
      <x:c r="B436" s="24" t="str">
        <x:v>束帶組-小包裝</x:v>
      </x:c>
      <x:c r="C436" s="24" t="str">
        <x:v>耗材類</x:v>
      </x:c>
      <x:c r="D436" s="24" t="str">
        <x:v>Cluster 5</x:v>
      </x:c>
      <x:c r="E436" s="26" t="n">
        <x:v>103</x:v>
      </x:c>
      <x:c r="F436" s="26" t="n">
        <x:v>46</x:v>
      </x:c>
      <x:c r="G436" s="24" t="str">
        <x:v>中</x:v>
      </x:c>
      <x:c r="H436" s="24" t="str">
        <x:v>中</x:v>
      </x:c>
      <x:c r="I436" s="24" t="str">
        <x:v>否</x:v>
      </x:c>
      <x:c r="J436" s="24" t="str">
        <x:v>否</x:v>
      </x:c>
      <x:c r="K436" s="24" t="str">
        <x:v>否</x:v>
      </x:c>
      <x:c r="L436" s="24" t="str"/>
      <x:c r="M436" s="28" t="n">
        <x:v>1</x:v>
      </x:c>
      <x:c r="N436" s="26" t="n">
        <x:v>503</x:v>
      </x:c>
      <x:c r="O436" s="26" t="n">
        <x:v>48</x:v>
      </x:c>
      <x:c r="P436" s="24" t="str">
        <x:v>是</x:v>
      </x:c>
      <x:c r="Q436" s="24" t="str">
        <x:v>遠端區</x:v>
      </x:c>
      <x:c r="R436" s="26" t="n">
        <x:v>74</x:v>
      </x:c>
      <x:c r="S436" s="24" t="str">
        <x:v>高頻</x:v>
      </x:c>
    </x:row>
    <x:row r="437">
      <x:c r="A437" s="24" t="str">
        <x:v>PX0433</x:v>
      </x:c>
      <x:c r="B437" s="24" t="str">
        <x:v>洗碗精-小包裝</x:v>
      </x:c>
      <x:c r="C437" s="24" t="str">
        <x:v>清潔用品</x:v>
      </x:c>
      <x:c r="D437" s="24" t="str">
        <x:v>Cluster 4</x:v>
      </x:c>
      <x:c r="E437" s="26" t="n">
        <x:v>46</x:v>
      </x:c>
      <x:c r="F437" s="26" t="n">
        <x:v>19</x:v>
      </x:c>
      <x:c r="G437" s="24" t="str">
        <x:v>中</x:v>
      </x:c>
      <x:c r="H437" s="24" t="str">
        <x:v>中</x:v>
      </x:c>
      <x:c r="I437" s="24" t="str">
        <x:v>是</x:v>
      </x:c>
      <x:c r="J437" s="24" t="str">
        <x:v>否</x:v>
      </x:c>
      <x:c r="K437" s="24" t="str">
        <x:v>是</x:v>
      </x:c>
      <x:c r="L437" s="24" t="str">
        <x:v>旺季</x:v>
      </x:c>
      <x:c r="M437" s="28" t="n">
        <x:v>1.8</x:v>
      </x:c>
      <x:c r="N437" s="26" t="n">
        <x:v>199</x:v>
      </x:c>
      <x:c r="O437" s="26" t="n">
        <x:v>48</x:v>
      </x:c>
      <x:c r="P437" s="24" t="str">
        <x:v>是</x:v>
      </x:c>
      <x:c r="Q437" s="24" t="str">
        <x:v>彈性區</x:v>
      </x:c>
      <x:c r="R437" s="26" t="n">
        <x:v>60</x:v>
      </x:c>
      <x:c r="S437" s="24" t="str">
        <x:v>中頻、液體、季節性</x:v>
      </x:c>
    </x:row>
    <x:row r="438">
      <x:c r="A438" s="24" t="str">
        <x:v>PX0434</x:v>
      </x:c>
      <x:c r="B438" s="24" t="str">
        <x:v>罐頭食品-家庭號</x:v>
      </x:c>
      <x:c r="C438" s="24" t="str">
        <x:v>食品類</x:v>
      </x:c>
      <x:c r="D438" s="24" t="str">
        <x:v>Cluster 2</x:v>
      </x:c>
      <x:c r="E438" s="26" t="n">
        <x:v>33</x:v>
      </x:c>
      <x:c r="F438" s="26" t="n">
        <x:v>22</x:v>
      </x:c>
      <x:c r="G438" s="24" t="str">
        <x:v>大</x:v>
      </x:c>
      <x:c r="H438" s="24" t="str">
        <x:v>中</x:v>
      </x:c>
      <x:c r="I438" s="24" t="str">
        <x:v>否</x:v>
      </x:c>
      <x:c r="J438" s="24" t="str">
        <x:v>否</x:v>
      </x:c>
      <x:c r="K438" s="24" t="str">
        <x:v>否</x:v>
      </x:c>
      <x:c r="L438" s="24" t="str"/>
      <x:c r="M438" s="28" t="n">
        <x:v>1.1</x:v>
      </x:c>
      <x:c r="N438" s="26" t="n">
        <x:v>70</x:v>
      </x:c>
      <x:c r="O438" s="26" t="n">
        <x:v>18</x:v>
      </x:c>
      <x:c r="P438" s="24" t="str">
        <x:v>是</x:v>
      </x:c>
      <x:c r="Q438" s="24" t="str">
        <x:v>1區</x:v>
      </x:c>
      <x:c r="R438" s="26" t="n">
        <x:v>22</x:v>
      </x:c>
      <x:c r="S438" s="24" t="str">
        <x:v>低頻、體積大</x:v>
      </x:c>
    </x:row>
    <x:row r="439">
      <x:c r="A439" s="24" t="str">
        <x:v>PX0435</x:v>
      </x:c>
      <x:c r="B439" s="24" t="str">
        <x:v>雨衣組-家庭號</x:v>
      </x:c>
      <x:c r="C439" s="24" t="str">
        <x:v>季節商品</x:v>
      </x:c>
      <x:c r="D439" s="24" t="str">
        <x:v>Cluster 4</x:v>
      </x:c>
      <x:c r="E439" s="26" t="n">
        <x:v>32</x:v>
      </x:c>
      <x:c r="F439" s="26" t="n">
        <x:v>14</x:v>
      </x:c>
      <x:c r="G439" s="24" t="str">
        <x:v>中</x:v>
      </x:c>
      <x:c r="H439" s="24" t="str">
        <x:v>中</x:v>
      </x:c>
      <x:c r="I439" s="24" t="str">
        <x:v>否</x:v>
      </x:c>
      <x:c r="J439" s="24" t="str">
        <x:v>否</x:v>
      </x:c>
      <x:c r="K439" s="24" t="str">
        <x:v>是</x:v>
      </x:c>
      <x:c r="L439" s="24" t="str">
        <x:v>5-8月</x:v>
      </x:c>
      <x:c r="M439" s="28" t="n">
        <x:v>2</x:v>
      </x:c>
      <x:c r="N439" s="26" t="n">
        <x:v>124</x:v>
      </x:c>
      <x:c r="O439" s="26" t="str"/>
      <x:c r="P439" s="24" t="str">
        <x:v>否</x:v>
      </x:c>
      <x:c r="Q439" s="24" t="str">
        <x:v>K區</x:v>
      </x:c>
      <x:c r="R439" s="26" t="n">
        <x:v>57</x:v>
      </x:c>
      <x:c r="S439" s="24" t="str">
        <x:v>低頻、季節性</x:v>
      </x:c>
    </x:row>
    <x:row r="440">
      <x:c r="A440" s="24" t="str">
        <x:v>PX0436</x:v>
      </x:c>
      <x:c r="B440" s="24" t="str">
        <x:v>面紙箱-標準箱</x:v>
      </x:c>
      <x:c r="C440" s="24" t="str">
        <x:v>紙品類</x:v>
      </x:c>
      <x:c r="D440" s="24" t="str">
        <x:v>Cluster 2</x:v>
      </x:c>
      <x:c r="E440" s="26" t="n">
        <x:v>55</x:v>
      </x:c>
      <x:c r="F440" s="26" t="n">
        <x:v>40</x:v>
      </x:c>
      <x:c r="G440" s="24" t="str">
        <x:v>小</x:v>
      </x:c>
      <x:c r="H440" s="24" t="str">
        <x:v>重</x:v>
      </x:c>
      <x:c r="I440" s="24" t="str">
        <x:v>否</x:v>
      </x:c>
      <x:c r="J440" s="24" t="str">
        <x:v>否</x:v>
      </x:c>
      <x:c r="K440" s="24" t="str">
        <x:v>否</x:v>
      </x:c>
      <x:c r="L440" s="24" t="str"/>
      <x:c r="M440" s="28" t="n">
        <x:v>1</x:v>
      </x:c>
      <x:c r="N440" s="26" t="n">
        <x:v>135</x:v>
      </x:c>
      <x:c r="O440" s="26" t="n">
        <x:v>40</x:v>
      </x:c>
      <x:c r="P440" s="24" t="str">
        <x:v>是</x:v>
      </x:c>
      <x:c r="Q440" s="24" t="str">
        <x:v>A區</x:v>
      </x:c>
      <x:c r="R440" s="26" t="n">
        <x:v>35</x:v>
      </x:c>
      <x:c r="S440" s="24" t="str">
        <x:v>中頻、重物</x:v>
      </x:c>
    </x:row>
    <x:row r="441">
      <x:c r="A441" s="24" t="str">
        <x:v>PX0437</x:v>
      </x:c>
      <x:c r="B441" s="24" t="str">
        <x:v>衛生棉組-促銷組</x:v>
      </x:c>
      <x:c r="C441" s="24" t="str">
        <x:v>日用品</x:v>
      </x:c>
      <x:c r="D441" s="24" t="str">
        <x:v>Cluster 5</x:v>
      </x:c>
      <x:c r="E441" s="26" t="n">
        <x:v>11</x:v>
      </x:c>
      <x:c r="F441" s="26" t="n">
        <x:v>7</x:v>
      </x:c>
      <x:c r="G441" s="24" t="str">
        <x:v>小</x:v>
      </x:c>
      <x:c r="H441" s="24" t="str">
        <x:v>輕</x:v>
      </x:c>
      <x:c r="I441" s="24" t="str">
        <x:v>否</x:v>
      </x:c>
      <x:c r="J441" s="24" t="str">
        <x:v>否</x:v>
      </x:c>
      <x:c r="K441" s="24" t="str">
        <x:v>否</x:v>
      </x:c>
      <x:c r="L441" s="24" t="str"/>
      <x:c r="M441" s="28" t="n">
        <x:v>1.1</x:v>
      </x:c>
      <x:c r="N441" s="26" t="n">
        <x:v>36</x:v>
      </x:c>
      <x:c r="O441" s="26" t="str"/>
      <x:c r="P441" s="24" t="str">
        <x:v>否</x:v>
      </x:c>
      <x:c r="Q441" s="24" t="str">
        <x:v>1區</x:v>
      </x:c>
      <x:c r="R441" s="26" t="n">
        <x:v>40</x:v>
      </x:c>
      <x:c r="S441" s="24" t="str">
        <x:v>低頻</x:v>
      </x:c>
    </x:row>
    <x:row r="442">
      <x:c r="A442" s="24" t="str">
        <x:v>PX0438</x:v>
      </x:c>
      <x:c r="B442" s="24" t="str">
        <x:v>餅乾箱-家庭號</x:v>
      </x:c>
      <x:c r="C442" s="24" t="str">
        <x:v>食品類</x:v>
      </x:c>
      <x:c r="D442" s="24" t="str">
        <x:v>Cluster 5</x:v>
      </x:c>
      <x:c r="E442" s="26" t="n">
        <x:v>30</x:v>
      </x:c>
      <x:c r="F442" s="26" t="n">
        <x:v>21</x:v>
      </x:c>
      <x:c r="G442" s="24" t="str">
        <x:v>小</x:v>
      </x:c>
      <x:c r="H442" s="24" t="str">
        <x:v>輕</x:v>
      </x:c>
      <x:c r="I442" s="24" t="str">
        <x:v>否</x:v>
      </x:c>
      <x:c r="J442" s="24" t="str">
        <x:v>否</x:v>
      </x:c>
      <x:c r="K442" s="24" t="str">
        <x:v>否</x:v>
      </x:c>
      <x:c r="L442" s="24" t="str"/>
      <x:c r="M442" s="28" t="n">
        <x:v>1.1</x:v>
      </x:c>
      <x:c r="N442" s="26" t="n">
        <x:v>138</x:v>
      </x:c>
      <x:c r="O442" s="26" t="str"/>
      <x:c r="P442" s="24" t="str">
        <x:v>否</x:v>
      </x:c>
      <x:c r="Q442" s="24" t="str">
        <x:v>A區</x:v>
      </x:c>
      <x:c r="R442" s="26" t="n">
        <x:v>26</x:v>
      </x:c>
      <x:c r="S442" s="24" t="str">
        <x:v>低頻</x:v>
      </x:c>
    </x:row>
    <x:row r="443">
      <x:c r="A443" s="24" t="str">
        <x:v>PX0439</x:v>
      </x:c>
      <x:c r="B443" s="24" t="str">
        <x:v>瓶裝水600ml-小包裝</x:v>
      </x:c>
      <x:c r="C443" s="24" t="str">
        <x:v>飲品類</x:v>
      </x:c>
      <x:c r="D443" s="24" t="str">
        <x:v>Cluster 2</x:v>
      </x:c>
      <x:c r="E443" s="26" t="n">
        <x:v>54</x:v>
      </x:c>
      <x:c r="F443" s="26" t="n">
        <x:v>36</x:v>
      </x:c>
      <x:c r="G443" s="24" t="str">
        <x:v>中</x:v>
      </x:c>
      <x:c r="H443" s="24" t="str">
        <x:v>重</x:v>
      </x:c>
      <x:c r="I443" s="24" t="str">
        <x:v>是</x:v>
      </x:c>
      <x:c r="J443" s="24" t="str">
        <x:v>否</x:v>
      </x:c>
      <x:c r="K443" s="24" t="str">
        <x:v>否</x:v>
      </x:c>
      <x:c r="L443" s="24" t="str"/>
      <x:c r="M443" s="28" t="n">
        <x:v>1.5</x:v>
      </x:c>
      <x:c r="N443" s="26" t="n">
        <x:v>166</x:v>
      </x:c>
      <x:c r="O443" s="26" t="n">
        <x:v>36</x:v>
      </x:c>
      <x:c r="P443" s="24" t="str">
        <x:v>是</x:v>
      </x:c>
      <x:c r="Q443" s="24" t="str">
        <x:v>遠端區</x:v>
      </x:c>
      <x:c r="R443" s="26" t="n">
        <x:v>67</x:v>
      </x:c>
      <x:c r="S443" s="24" t="str">
        <x:v>中頻、重物、液體</x:v>
      </x:c>
    </x:row>
    <x:row r="444">
      <x:c r="A444" s="24" t="str">
        <x:v>PX0440</x:v>
      </x:c>
      <x:c r="B444" s="24" t="str">
        <x:v>麥片箱-箱裝</x:v>
      </x:c>
      <x:c r="C444" s="24" t="str">
        <x:v>食品類</x:v>
      </x:c>
      <x:c r="D444" s="24" t="str">
        <x:v>Cluster 5</x:v>
      </x:c>
      <x:c r="E444" s="26" t="n">
        <x:v>23</x:v>
      </x:c>
      <x:c r="F444" s="26" t="n">
        <x:v>11</x:v>
      </x:c>
      <x:c r="G444" s="24" t="str">
        <x:v>中</x:v>
      </x:c>
      <x:c r="H444" s="24" t="str">
        <x:v>中</x:v>
      </x:c>
      <x:c r="I444" s="24" t="str">
        <x:v>否</x:v>
      </x:c>
      <x:c r="J444" s="24" t="str">
        <x:v>否</x:v>
      </x:c>
      <x:c r="K444" s="24" t="str">
        <x:v>否</x:v>
      </x:c>
      <x:c r="L444" s="24" t="str"/>
      <x:c r="M444" s="28" t="n">
        <x:v>1</x:v>
      </x:c>
      <x:c r="N444" s="26" t="n">
        <x:v>104</x:v>
      </x:c>
      <x:c r="O444" s="26" t="str"/>
      <x:c r="P444" s="24" t="str">
        <x:v>否</x:v>
      </x:c>
      <x:c r="Q444" s="24" t="str">
        <x:v>彈性區</x:v>
      </x:c>
      <x:c r="R444" s="26" t="n">
        <x:v>54</x:v>
      </x:c>
      <x:c r="S444" s="24" t="str">
        <x:v>低頻</x:v>
      </x:c>
    </x:row>
    <x:row r="445">
      <x:c r="A445" s="24" t="str">
        <x:v>PX0441</x:v>
      </x:c>
      <x:c r="B445" s="24" t="str">
        <x:v>白米3kg-家庭號</x:v>
      </x:c>
      <x:c r="C445" s="24" t="str">
        <x:v>食品類</x:v>
      </x:c>
      <x:c r="D445" s="24" t="str">
        <x:v>Cluster 1</x:v>
      </x:c>
      <x:c r="E445" s="26" t="n">
        <x:v>6</x:v>
      </x:c>
      <x:c r="F445" s="26" t="n">
        <x:v>3</x:v>
      </x:c>
      <x:c r="G445" s="24" t="str">
        <x:v>中</x:v>
      </x:c>
      <x:c r="H445" s="24" t="str">
        <x:v>重</x:v>
      </x:c>
      <x:c r="I445" s="24" t="str">
        <x:v>否</x:v>
      </x:c>
      <x:c r="J445" s="24" t="str">
        <x:v>是</x:v>
      </x:c>
      <x:c r="K445" s="24" t="str">
        <x:v>否</x:v>
      </x:c>
      <x:c r="L445" s="24" t="str"/>
      <x:c r="M445" s="28" t="n">
        <x:v>1</x:v>
      </x:c>
      <x:c r="N445" s="26" t="n">
        <x:v>25</x:v>
      </x:c>
      <x:c r="O445" s="26" t="n">
        <x:v>32</x:v>
      </x:c>
      <x:c r="P445" s="24" t="str">
        <x:v>是</x:v>
      </x:c>
      <x:c r="Q445" s="24" t="str">
        <x:v>K區</x:v>
      </x:c>
      <x:c r="R445" s="26" t="n">
        <x:v>53</x:v>
      </x:c>
      <x:c r="S445" s="24" t="str">
        <x:v>低頻、重物、易碎</x:v>
      </x:c>
    </x:row>
    <x:row r="446">
      <x:c r="A446" s="24" t="str">
        <x:v>PX0442</x:v>
      </x:c>
      <x:c r="B446" s="24" t="str">
        <x:v>包裝膠帶-促銷組</x:v>
      </x:c>
      <x:c r="C446" s="24" t="str">
        <x:v>耗材類</x:v>
      </x:c>
      <x:c r="D446" s="24" t="str">
        <x:v>Cluster 5</x:v>
      </x:c>
      <x:c r="E446" s="26" t="n">
        <x:v>85</x:v>
      </x:c>
      <x:c r="F446" s="26" t="n">
        <x:v>52</x:v>
      </x:c>
      <x:c r="G446" s="24" t="str">
        <x:v>小</x:v>
      </x:c>
      <x:c r="H446" s="24" t="str">
        <x:v>中</x:v>
      </x:c>
      <x:c r="I446" s="24" t="str">
        <x:v>否</x:v>
      </x:c>
      <x:c r="J446" s="24" t="str">
        <x:v>否</x:v>
      </x:c>
      <x:c r="K446" s="24" t="str">
        <x:v>否</x:v>
      </x:c>
      <x:c r="L446" s="24" t="str"/>
      <x:c r="M446" s="28" t="n">
        <x:v>1</x:v>
      </x:c>
      <x:c r="N446" s="26" t="n">
        <x:v>382</x:v>
      </x:c>
      <x:c r="O446" s="26" t="n">
        <x:v>80</x:v>
      </x:c>
      <x:c r="P446" s="24" t="str">
        <x:v>是</x:v>
      </x:c>
      <x:c r="Q446" s="24" t="str">
        <x:v>1區</x:v>
      </x:c>
      <x:c r="R446" s="26" t="n">
        <x:v>25</x:v>
      </x:c>
      <x:c r="S446" s="24" t="str">
        <x:v>高頻</x:v>
      </x:c>
    </x:row>
    <x:row r="447">
      <x:c r="A447" s="24" t="str">
        <x:v>PX0443</x:v>
      </x:c>
      <x:c r="B447" s="24" t="str">
        <x:v>捲筒衛生紙-標準箱</x:v>
      </x:c>
      <x:c r="C447" s="24" t="str">
        <x:v>紙品類</x:v>
      </x:c>
      <x:c r="D447" s="24" t="str">
        <x:v>Cluster 2</x:v>
      </x:c>
      <x:c r="E447" s="26" t="n">
        <x:v>11</x:v>
      </x:c>
      <x:c r="F447" s="26" t="n">
        <x:v>5</x:v>
      </x:c>
      <x:c r="G447" s="24" t="str">
        <x:v>大</x:v>
      </x:c>
      <x:c r="H447" s="24" t="str">
        <x:v>輕</x:v>
      </x:c>
      <x:c r="I447" s="24" t="str">
        <x:v>否</x:v>
      </x:c>
      <x:c r="J447" s="24" t="str">
        <x:v>否</x:v>
      </x:c>
      <x:c r="K447" s="24" t="str">
        <x:v>否</x:v>
      </x:c>
      <x:c r="L447" s="24" t="str"/>
      <x:c r="M447" s="28" t="n">
        <x:v>1</x:v>
      </x:c>
      <x:c r="N447" s="26" t="n">
        <x:v>31</x:v>
      </x:c>
      <x:c r="O447" s="26" t="n">
        <x:v>20</x:v>
      </x:c>
      <x:c r="P447" s="24" t="str">
        <x:v>是</x:v>
      </x:c>
      <x:c r="Q447" s="24" t="str">
        <x:v>1區</x:v>
      </x:c>
      <x:c r="R447" s="26" t="n">
        <x:v>41</x:v>
      </x:c>
      <x:c r="S447" s="24" t="str">
        <x:v>低頻、體積大</x:v>
      </x:c>
    </x:row>
    <x:row r="448">
      <x:c r="A448" s="24" t="str">
        <x:v>PX0444</x:v>
      </x:c>
      <x:c r="B448" s="24" t="str">
        <x:v>貓砂10L-促銷組</x:v>
      </x:c>
      <x:c r="C448" s="24" t="str">
        <x:v>寵物用品</x:v>
      </x:c>
      <x:c r="D448" s="24" t="str">
        <x:v>Cluster 3</x:v>
      </x:c>
      <x:c r="E448" s="26" t="n">
        <x:v>178</x:v>
      </x:c>
      <x:c r="F448" s="26" t="n">
        <x:v>64</x:v>
      </x:c>
      <x:c r="G448" s="24" t="str">
        <x:v>大</x:v>
      </x:c>
      <x:c r="H448" s="24" t="str">
        <x:v>重</x:v>
      </x:c>
      <x:c r="I448" s="24" t="str">
        <x:v>否</x:v>
      </x:c>
      <x:c r="J448" s="24" t="str">
        <x:v>否</x:v>
      </x:c>
      <x:c r="K448" s="24" t="str">
        <x:v>否</x:v>
      </x:c>
      <x:c r="L448" s="24" t="str"/>
      <x:c r="M448" s="28" t="n">
        <x:v>1</x:v>
      </x:c>
      <x:c r="N448" s="26" t="n">
        <x:v>498</x:v>
      </x:c>
      <x:c r="O448" s="26" t="n">
        <x:v>30</x:v>
      </x:c>
      <x:c r="P448" s="24" t="str">
        <x:v>是</x:v>
      </x:c>
      <x:c r="Q448" s="24" t="str">
        <x:v>3區</x:v>
      </x:c>
      <x:c r="R448" s="26" t="n">
        <x:v>32</x:v>
      </x:c>
      <x:c r="S448" s="24" t="str">
        <x:v>高頻、體積大、重物</x:v>
      </x:c>
    </x:row>
    <x:row r="449">
      <x:c r="A449" s="24" t="str">
        <x:v>PX0445</x:v>
      </x:c>
      <x:c r="B449" s="24" t="str">
        <x:v>衛生棉組-家庭號</x:v>
      </x:c>
      <x:c r="C449" s="24" t="str">
        <x:v>日用品</x:v>
      </x:c>
      <x:c r="D449" s="24" t="str">
        <x:v>Cluster 5</x:v>
      </x:c>
      <x:c r="E449" s="26" t="n">
        <x:v>31</x:v>
      </x:c>
      <x:c r="F449" s="26" t="n">
        <x:v>19</x:v>
      </x:c>
      <x:c r="G449" s="24" t="str">
        <x:v>小</x:v>
      </x:c>
      <x:c r="H449" s="24" t="str">
        <x:v>輕</x:v>
      </x:c>
      <x:c r="I449" s="24" t="str">
        <x:v>否</x:v>
      </x:c>
      <x:c r="J449" s="24" t="str">
        <x:v>否</x:v>
      </x:c>
      <x:c r="K449" s="24" t="str">
        <x:v>否</x:v>
      </x:c>
      <x:c r="L449" s="24" t="str"/>
      <x:c r="M449" s="28" t="n">
        <x:v>1</x:v>
      </x:c>
      <x:c r="N449" s="26" t="n">
        <x:v>120</x:v>
      </x:c>
      <x:c r="O449" s="26" t="str"/>
      <x:c r="P449" s="24" t="str">
        <x:v>否</x:v>
      </x:c>
      <x:c r="Q449" s="24" t="str">
        <x:v>A區</x:v>
      </x:c>
      <x:c r="R449" s="26" t="n">
        <x:v>36</x:v>
      </x:c>
      <x:c r="S449" s="24" t="str">
        <x:v>低頻</x:v>
      </x:c>
    </x:row>
    <x:row r="450">
      <x:c r="A450" s="24" t="str">
        <x:v>PX0446</x:v>
      </x:c>
      <x:c r="B450" s="24" t="str">
        <x:v>成人紙尿褲-箱裝</x:v>
      </x:c>
      <x:c r="C450" s="24" t="str">
        <x:v>日用品</x:v>
      </x:c>
      <x:c r="D450" s="24" t="str">
        <x:v>Cluster 2</x:v>
      </x:c>
      <x:c r="E450" s="26" t="n">
        <x:v>21</x:v>
      </x:c>
      <x:c r="F450" s="26" t="n">
        <x:v>13</x:v>
      </x:c>
      <x:c r="G450" s="24" t="str">
        <x:v>大</x:v>
      </x:c>
      <x:c r="H450" s="24" t="str">
        <x:v>輕</x:v>
      </x:c>
      <x:c r="I450" s="24" t="str">
        <x:v>否</x:v>
      </x:c>
      <x:c r="J450" s="24" t="str">
        <x:v>否</x:v>
      </x:c>
      <x:c r="K450" s="24" t="str">
        <x:v>否</x:v>
      </x:c>
      <x:c r="L450" s="24" t="str"/>
      <x:c r="M450" s="28" t="n">
        <x:v>1</x:v>
      </x:c>
      <x:c r="N450" s="26" t="n">
        <x:v>89</x:v>
      </x:c>
      <x:c r="O450" s="26" t="n">
        <x:v>30</x:v>
      </x:c>
      <x:c r="P450" s="24" t="str">
        <x:v>是</x:v>
      </x:c>
      <x:c r="Q450" s="24" t="str">
        <x:v>K區</x:v>
      </x:c>
      <x:c r="R450" s="26" t="n">
        <x:v>53</x:v>
      </x:c>
      <x:c r="S450" s="24" t="str">
        <x:v>低頻、體積大</x:v>
      </x:c>
    </x:row>
    <x:row r="451">
      <x:c r="A451" s="24" t="str">
        <x:v>PX0447</x:v>
      </x:c>
      <x:c r="B451" s="24" t="str">
        <x:v>浴廁清潔劑-補充包</x:v>
      </x:c>
      <x:c r="C451" s="24" t="str">
        <x:v>清潔用品</x:v>
      </x:c>
      <x:c r="D451" s="24" t="str">
        <x:v>Cluster 1</x:v>
      </x:c>
      <x:c r="E451" s="26" t="n">
        <x:v>160</x:v>
      </x:c>
      <x:c r="F451" s="26" t="n">
        <x:v>52</x:v>
      </x:c>
      <x:c r="G451" s="24" t="str">
        <x:v>中</x:v>
      </x:c>
      <x:c r="H451" s="24" t="str">
        <x:v>中</x:v>
      </x:c>
      <x:c r="I451" s="24" t="str">
        <x:v>是</x:v>
      </x:c>
      <x:c r="J451" s="24" t="str">
        <x:v>是</x:v>
      </x:c>
      <x:c r="K451" s="24" t="str">
        <x:v>否</x:v>
      </x:c>
      <x:c r="L451" s="24" t="str"/>
      <x:c r="M451" s="28" t="n">
        <x:v>1</x:v>
      </x:c>
      <x:c r="N451" s="26" t="n">
        <x:v>386</x:v>
      </x:c>
      <x:c r="O451" s="26" t="n">
        <x:v>80</x:v>
      </x:c>
      <x:c r="P451" s="24" t="str">
        <x:v>是</x:v>
      </x:c>
      <x:c r="Q451" s="24" t="str">
        <x:v>彈性區</x:v>
      </x:c>
      <x:c r="R451" s="26" t="n">
        <x:v>55</x:v>
      </x:c>
      <x:c r="S451" s="24" t="str">
        <x:v>高頻、液體、易碎</x:v>
      </x:c>
    </x:row>
    <x:row r="452">
      <x:c r="A452" s="24" t="str">
        <x:v>PX0448</x:v>
      </x:c>
      <x:c r="B452" s="24" t="str">
        <x:v>暖暖包-標準箱</x:v>
      </x:c>
      <x:c r="C452" s="24" t="str">
        <x:v>季節商品</x:v>
      </x:c>
      <x:c r="D452" s="24" t="str">
        <x:v>Cluster 4</x:v>
      </x:c>
      <x:c r="E452" s="26" t="n">
        <x:v>12</x:v>
      </x:c>
      <x:c r="F452" s="26" t="n">
        <x:v>13</x:v>
      </x:c>
      <x:c r="G452" s="24" t="str">
        <x:v>中</x:v>
      </x:c>
      <x:c r="H452" s="24" t="str">
        <x:v>中</x:v>
      </x:c>
      <x:c r="I452" s="24" t="str">
        <x:v>否</x:v>
      </x:c>
      <x:c r="J452" s="24" t="str">
        <x:v>否</x:v>
      </x:c>
      <x:c r="K452" s="24" t="str">
        <x:v>是</x:v>
      </x:c>
      <x:c r="L452" s="24" t="str">
        <x:v>11-2月</x:v>
      </x:c>
      <x:c r="M452" s="28" t="n">
        <x:v>3</x:v>
      </x:c>
      <x:c r="N452" s="26" t="n">
        <x:v>57</x:v>
      </x:c>
      <x:c r="O452" s="26" t="str"/>
      <x:c r="P452" s="24" t="str">
        <x:v>否</x:v>
      </x:c>
      <x:c r="Q452" s="24" t="str">
        <x:v>3區</x:v>
      </x:c>
      <x:c r="R452" s="26" t="n">
        <x:v>40</x:v>
      </x:c>
      <x:c r="S452" s="24" t="str">
        <x:v>低頻、季節性</x:v>
      </x:c>
    </x:row>
    <x:row r="453">
      <x:c r="A453" s="24" t="str">
        <x:v>PX0449</x:v>
      </x:c>
      <x:c r="B453" s="24" t="str">
        <x:v>端午禮盒-小包裝</x:v>
      </x:c>
      <x:c r="C453" s="24" t="str">
        <x:v>季節商品</x:v>
      </x:c>
      <x:c r="D453" s="24" t="str">
        <x:v>Cluster 4</x:v>
      </x:c>
      <x:c r="E453" s="26" t="n">
        <x:v>19</x:v>
      </x:c>
      <x:c r="F453" s="26" t="n">
        <x:v>10</x:v>
      </x:c>
      <x:c r="G453" s="24" t="str">
        <x:v>大</x:v>
      </x:c>
      <x:c r="H453" s="24" t="str">
        <x:v>輕</x:v>
      </x:c>
      <x:c r="I453" s="24" t="str">
        <x:v>否</x:v>
      </x:c>
      <x:c r="J453" s="24" t="str">
        <x:v>是</x:v>
      </x:c>
      <x:c r="K453" s="24" t="str">
        <x:v>是</x:v>
      </x:c>
      <x:c r="L453" s="24" t="str">
        <x:v>1-2月</x:v>
      </x:c>
      <x:c r="M453" s="28" t="n">
        <x:v>2.5</x:v>
      </x:c>
      <x:c r="N453" s="26" t="n">
        <x:v>91</x:v>
      </x:c>
      <x:c r="O453" s="26" t="n">
        <x:v>30</x:v>
      </x:c>
      <x:c r="P453" s="24" t="str">
        <x:v>是</x:v>
      </x:c>
      <x:c r="Q453" s="24" t="str">
        <x:v>3區</x:v>
      </x:c>
      <x:c r="R453" s="26" t="n">
        <x:v>45</x:v>
      </x:c>
      <x:c r="S453" s="24" t="str">
        <x:v>低頻、體積大、易碎、季節性</x:v>
      </x:c>
    </x:row>
    <x:row r="454">
      <x:c r="A454" s="24" t="str">
        <x:v>PX0450</x:v>
      </x:c>
      <x:c r="B454" s="24" t="str">
        <x:v>咖哩塊箱-家庭號</x:v>
      </x:c>
      <x:c r="C454" s="24" t="str">
        <x:v>食品類</x:v>
      </x:c>
      <x:c r="D454" s="24" t="str">
        <x:v>Cluster 5</x:v>
      </x:c>
      <x:c r="E454" s="26" t="n">
        <x:v>57</x:v>
      </x:c>
      <x:c r="F454" s="26" t="n">
        <x:v>41</x:v>
      </x:c>
      <x:c r="G454" s="24" t="str">
        <x:v>小</x:v>
      </x:c>
      <x:c r="H454" s="24" t="str">
        <x:v>輕</x:v>
      </x:c>
      <x:c r="I454" s="24" t="str">
        <x:v>否</x:v>
      </x:c>
      <x:c r="J454" s="24" t="str">
        <x:v>否</x:v>
      </x:c>
      <x:c r="K454" s="24" t="str">
        <x:v>否</x:v>
      </x:c>
      <x:c r="L454" s="24" t="str"/>
      <x:c r="M454" s="28" t="n">
        <x:v>1</x:v>
      </x:c>
      <x:c r="N454" s="26" t="n">
        <x:v>245</x:v>
      </x:c>
      <x:c r="O454" s="26" t="n">
        <x:v>48</x:v>
      </x:c>
      <x:c r="P454" s="24" t="str">
        <x:v>是</x:v>
      </x:c>
      <x:c r="Q454" s="24" t="str">
        <x:v>A區</x:v>
      </x:c>
      <x:c r="R454" s="26" t="n">
        <x:v>34</x:v>
      </x:c>
      <x:c r="S454" s="24" t="str">
        <x:v>中頻</x:v>
      </x:c>
    </x:row>
    <x:row r="455">
      <x:c r="A455" s="24" t="str">
        <x:v>PX0451</x:v>
      </x:c>
      <x:c r="B455" s="24" t="str">
        <x:v>寵物飼料5kg-家庭號</x:v>
      </x:c>
      <x:c r="C455" s="24" t="str">
        <x:v>寵物用品</x:v>
      </x:c>
      <x:c r="D455" s="24" t="str">
        <x:v>Cluster 2</x:v>
      </x:c>
      <x:c r="E455" s="26" t="n">
        <x:v>50</x:v>
      </x:c>
      <x:c r="F455" s="26" t="n">
        <x:v>23</x:v>
      </x:c>
      <x:c r="G455" s="24" t="str">
        <x:v>大</x:v>
      </x:c>
      <x:c r="H455" s="24" t="str">
        <x:v>重</x:v>
      </x:c>
      <x:c r="I455" s="24" t="str">
        <x:v>否</x:v>
      </x:c>
      <x:c r="J455" s="24" t="str">
        <x:v>否</x:v>
      </x:c>
      <x:c r="K455" s="24" t="str">
        <x:v>否</x:v>
      </x:c>
      <x:c r="L455" s="24" t="str"/>
      <x:c r="M455" s="28" t="n">
        <x:v>1</x:v>
      </x:c>
      <x:c r="N455" s="26" t="n">
        <x:v>150</x:v>
      </x:c>
      <x:c r="O455" s="26" t="n">
        <x:v>30</x:v>
      </x:c>
      <x:c r="P455" s="24" t="str">
        <x:v>是</x:v>
      </x:c>
      <x:c r="Q455" s="24" t="str">
        <x:v>1區</x:v>
      </x:c>
      <x:c r="R455" s="26" t="n">
        <x:v>20</x:v>
      </x:c>
      <x:c r="S455" s="24" t="str">
        <x:v>中頻、體積大、重物</x:v>
      </x:c>
    </x:row>
    <x:row r="456">
      <x:c r="A456" s="24" t="str">
        <x:v>PX0452</x:v>
      </x:c>
      <x:c r="B456" s="24" t="str">
        <x:v>玻璃瓶醬料-家庭號</x:v>
      </x:c>
      <x:c r="C456" s="24" t="str">
        <x:v>食品類</x:v>
      </x:c>
      <x:c r="D456" s="24" t="str">
        <x:v>Cluster 2</x:v>
      </x:c>
      <x:c r="E456" s="26" t="n">
        <x:v>45</x:v>
      </x:c>
      <x:c r="F456" s="26" t="n">
        <x:v>29</x:v>
      </x:c>
      <x:c r="G456" s="24" t="str">
        <x:v>大</x:v>
      </x:c>
      <x:c r="H456" s="24" t="str">
        <x:v>中</x:v>
      </x:c>
      <x:c r="I456" s="24" t="str">
        <x:v>否</x:v>
      </x:c>
      <x:c r="J456" s="24" t="str">
        <x:v>是</x:v>
      </x:c>
      <x:c r="K456" s="24" t="str">
        <x:v>否</x:v>
      </x:c>
      <x:c r="L456" s="24" t="str"/>
      <x:c r="M456" s="28" t="n">
        <x:v>1</x:v>
      </x:c>
      <x:c r="N456" s="26" t="n">
        <x:v>148</x:v>
      </x:c>
      <x:c r="O456" s="26" t="n">
        <x:v>30</x:v>
      </x:c>
      <x:c r="P456" s="24" t="str">
        <x:v>是</x:v>
      </x:c>
      <x:c r="Q456" s="24" t="str">
        <x:v>3區</x:v>
      </x:c>
      <x:c r="R456" s="26" t="n">
        <x:v>45</x:v>
      </x:c>
      <x:c r="S456" s="24" t="str">
        <x:v>中頻、體積大、易碎</x:v>
      </x:c>
    </x:row>
    <x:row r="457">
      <x:c r="A457" s="24" t="str">
        <x:v>PX0453</x:v>
      </x:c>
      <x:c r="B457" s="24" t="str">
        <x:v>牙刷組-箱裝</x:v>
      </x:c>
      <x:c r="C457" s="24" t="str">
        <x:v>日用品</x:v>
      </x:c>
      <x:c r="D457" s="24" t="str">
        <x:v>Cluster 5</x:v>
      </x:c>
      <x:c r="E457" s="26" t="n">
        <x:v>16</x:v>
      </x:c>
      <x:c r="F457" s="26" t="n">
        <x:v>9</x:v>
      </x:c>
      <x:c r="G457" s="24" t="str">
        <x:v>中</x:v>
      </x:c>
      <x:c r="H457" s="24" t="str">
        <x:v>中</x:v>
      </x:c>
      <x:c r="I457" s="24" t="str">
        <x:v>否</x:v>
      </x:c>
      <x:c r="J457" s="24" t="str">
        <x:v>否</x:v>
      </x:c>
      <x:c r="K457" s="24" t="str">
        <x:v>否</x:v>
      </x:c>
      <x:c r="L457" s="24" t="str"/>
      <x:c r="M457" s="28" t="n">
        <x:v>1</x:v>
      </x:c>
      <x:c r="N457" s="26" t="n">
        <x:v>63</x:v>
      </x:c>
      <x:c r="O457" s="26" t="str"/>
      <x:c r="P457" s="24" t="str">
        <x:v>否</x:v>
      </x:c>
      <x:c r="Q457" s="24" t="str">
        <x:v>A區</x:v>
      </x:c>
      <x:c r="R457" s="26" t="n">
        <x:v>33</x:v>
      </x:c>
      <x:c r="S457" s="24" t="str">
        <x:v>低頻</x:v>
      </x:c>
    </x:row>
    <x:row r="458">
      <x:c r="A458" s="24" t="str">
        <x:v>PX0454</x:v>
      </x:c>
      <x:c r="B458" s="24" t="str">
        <x:v>寵物尿布墊-補充包</x:v>
      </x:c>
      <x:c r="C458" s="24" t="str">
        <x:v>寵物用品</x:v>
      </x:c>
      <x:c r="D458" s="24" t="str">
        <x:v>Cluster 2</x:v>
      </x:c>
      <x:c r="E458" s="26" t="n">
        <x:v>21</x:v>
      </x:c>
      <x:c r="F458" s="26" t="n">
        <x:v>10</x:v>
      </x:c>
      <x:c r="G458" s="24" t="str">
        <x:v>大</x:v>
      </x:c>
      <x:c r="H458" s="24" t="str">
        <x:v>中</x:v>
      </x:c>
      <x:c r="I458" s="24" t="str">
        <x:v>否</x:v>
      </x:c>
      <x:c r="J458" s="24" t="str">
        <x:v>否</x:v>
      </x:c>
      <x:c r="K458" s="24" t="str">
        <x:v>否</x:v>
      </x:c>
      <x:c r="L458" s="24" t="str"/>
      <x:c r="M458" s="28" t="n">
        <x:v>1.1</x:v>
      </x:c>
      <x:c r="N458" s="26" t="n">
        <x:v>45</x:v>
      </x:c>
      <x:c r="O458" s="26" t="n">
        <x:v>24</x:v>
      </x:c>
      <x:c r="P458" s="24" t="str">
        <x:v>是</x:v>
      </x:c>
      <x:c r="Q458" s="24" t="str">
        <x:v>A區</x:v>
      </x:c>
      <x:c r="R458" s="26" t="n">
        <x:v>32</x:v>
      </x:c>
      <x:c r="S458" s="24" t="str">
        <x:v>低頻、體積大</x:v>
      </x:c>
    </x:row>
    <x:row r="459">
      <x:c r="A459" s="24" t="str">
        <x:v>PX0455</x:v>
      </x:c>
      <x:c r="B459" s="24" t="str">
        <x:v>擦手紙箱-箱裝</x:v>
      </x:c>
      <x:c r="C459" s="24" t="str">
        <x:v>紙品類</x:v>
      </x:c>
      <x:c r="D459" s="24" t="str">
        <x:v>Cluster 2</x:v>
      </x:c>
      <x:c r="E459" s="26" t="n">
        <x:v>44</x:v>
      </x:c>
      <x:c r="F459" s="26" t="n">
        <x:v>20</x:v>
      </x:c>
      <x:c r="G459" s="24" t="str">
        <x:v>大</x:v>
      </x:c>
      <x:c r="H459" s="24" t="str">
        <x:v>輕</x:v>
      </x:c>
      <x:c r="I459" s="24" t="str">
        <x:v>否</x:v>
      </x:c>
      <x:c r="J459" s="24" t="str">
        <x:v>否</x:v>
      </x:c>
      <x:c r="K459" s="24" t="str">
        <x:v>否</x:v>
      </x:c>
      <x:c r="L459" s="24" t="str"/>
      <x:c r="M459" s="28" t="n">
        <x:v>1</x:v>
      </x:c>
      <x:c r="N459" s="26" t="n">
        <x:v>141</x:v>
      </x:c>
      <x:c r="O459" s="26" t="n">
        <x:v>24</x:v>
      </x:c>
      <x:c r="P459" s="24" t="str">
        <x:v>是</x:v>
      </x:c>
      <x:c r="Q459" s="24" t="str">
        <x:v>3區</x:v>
      </x:c>
      <x:c r="R459" s="26" t="n">
        <x:v>40</x:v>
      </x:c>
      <x:c r="S459" s="24" t="str">
        <x:v>中頻、體積大</x:v>
      </x:c>
    </x:row>
    <x:row r="460">
      <x:c r="A460" s="24" t="str">
        <x:v>PX0456</x:v>
      </x:c>
      <x:c r="B460" s="24" t="str">
        <x:v>口罩盒-補充包</x:v>
      </x:c>
      <x:c r="C460" s="24" t="str">
        <x:v>日用品</x:v>
      </x:c>
      <x:c r="D460" s="24" t="str">
        <x:v>Cluster 5</x:v>
      </x:c>
      <x:c r="E460" s="26" t="n">
        <x:v>159</x:v>
      </x:c>
      <x:c r="F460" s="26" t="n">
        <x:v>80</x:v>
      </x:c>
      <x:c r="G460" s="24" t="str">
        <x:v>小</x:v>
      </x:c>
      <x:c r="H460" s="24" t="str">
        <x:v>輕</x:v>
      </x:c>
      <x:c r="I460" s="24" t="str">
        <x:v>否</x:v>
      </x:c>
      <x:c r="J460" s="24" t="str">
        <x:v>否</x:v>
      </x:c>
      <x:c r="K460" s="24" t="str">
        <x:v>否</x:v>
      </x:c>
      <x:c r="L460" s="24" t="str"/>
      <x:c r="M460" s="28" t="n">
        <x:v>1.1</x:v>
      </x:c>
      <x:c r="N460" s="26" t="n">
        <x:v>672</x:v>
      </x:c>
      <x:c r="O460" s="26" t="n">
        <x:v>72</x:v>
      </x:c>
      <x:c r="P460" s="24" t="str">
        <x:v>是</x:v>
      </x:c>
      <x:c r="Q460" s="24" t="str">
        <x:v>遠端區</x:v>
      </x:c>
      <x:c r="R460" s="26" t="n">
        <x:v>72</x:v>
      </x:c>
      <x:c r="S460" s="24" t="str">
        <x:v>高頻</x:v>
      </x:c>
    </x:row>
    <x:row r="461">
      <x:c r="A461" s="24" t="str">
        <x:v>PX0457</x:v>
      </x:c>
      <x:c r="B461" s="24" t="str">
        <x:v>牙膏組-小包裝</x:v>
      </x:c>
      <x:c r="C461" s="24" t="str">
        <x:v>日用品</x:v>
      </x:c>
      <x:c r="D461" s="24" t="str">
        <x:v>Cluster 5</x:v>
      </x:c>
      <x:c r="E461" s="26" t="n">
        <x:v>74</x:v>
      </x:c>
      <x:c r="F461" s="26" t="n">
        <x:v>43</x:v>
      </x:c>
      <x:c r="G461" s="24" t="str">
        <x:v>小</x:v>
      </x:c>
      <x:c r="H461" s="24" t="str">
        <x:v>輕</x:v>
      </x:c>
      <x:c r="I461" s="24" t="str">
        <x:v>否</x:v>
      </x:c>
      <x:c r="J461" s="24" t="str">
        <x:v>否</x:v>
      </x:c>
      <x:c r="K461" s="24" t="str">
        <x:v>否</x:v>
      </x:c>
      <x:c r="L461" s="24" t="str"/>
      <x:c r="M461" s="28" t="n">
        <x:v>1</x:v>
      </x:c>
      <x:c r="N461" s="26" t="n">
        <x:v>331</x:v>
      </x:c>
      <x:c r="O461" s="26" t="n">
        <x:v>60</x:v>
      </x:c>
      <x:c r="P461" s="24" t="str">
        <x:v>是</x:v>
      </x:c>
      <x:c r="Q461" s="24" t="str">
        <x:v>1區</x:v>
      </x:c>
      <x:c r="R461" s="26" t="n">
        <x:v>35</x:v>
      </x:c>
      <x:c r="S461" s="24" t="str">
        <x:v>中頻</x:v>
      </x:c>
    </x:row>
    <x:row r="462">
      <x:c r="A462" s="24" t="str">
        <x:v>PX0458</x:v>
      </x:c>
      <x:c r="B462" s="24" t="str">
        <x:v>運動飲料整箱-促銷組</x:v>
      </x:c>
      <x:c r="C462" s="24" t="str">
        <x:v>飲品類</x:v>
      </x:c>
      <x:c r="D462" s="24" t="str">
        <x:v>Cluster 2</x:v>
      </x:c>
      <x:c r="E462" s="26" t="n">
        <x:v>62</x:v>
      </x:c>
      <x:c r="F462" s="26" t="n">
        <x:v>39</x:v>
      </x:c>
      <x:c r="G462" s="24" t="str">
        <x:v>中</x:v>
      </x:c>
      <x:c r="H462" s="24" t="str">
        <x:v>重</x:v>
      </x:c>
      <x:c r="I462" s="24" t="str">
        <x:v>是</x:v>
      </x:c>
      <x:c r="J462" s="24" t="str">
        <x:v>否</x:v>
      </x:c>
      <x:c r="K462" s="24" t="str">
        <x:v>否</x:v>
      </x:c>
      <x:c r="L462" s="24" t="str"/>
      <x:c r="M462" s="28" t="n">
        <x:v>1.5</x:v>
      </x:c>
      <x:c r="N462" s="26" t="n">
        <x:v>199</x:v>
      </x:c>
      <x:c r="O462" s="26" t="n">
        <x:v>36</x:v>
      </x:c>
      <x:c r="P462" s="24" t="str">
        <x:v>是</x:v>
      </x:c>
      <x:c r="Q462" s="24" t="str">
        <x:v>3區</x:v>
      </x:c>
      <x:c r="R462" s="26" t="n">
        <x:v>47</x:v>
      </x:c>
      <x:c r="S462" s="24" t="str">
        <x:v>中頻、重物、液體</x:v>
      </x:c>
    </x:row>
    <x:row r="463">
      <x:c r="A463" s="24" t="str">
        <x:v>PX0459</x:v>
      </x:c>
      <x:c r="B463" s="24" t="str">
        <x:v>白米3kg-小包裝</x:v>
      </x:c>
      <x:c r="C463" s="24" t="str">
        <x:v>食品類</x:v>
      </x:c>
      <x:c r="D463" s="24" t="str">
        <x:v>Cluster 2</x:v>
      </x:c>
      <x:c r="E463" s="26" t="n">
        <x:v>64</x:v>
      </x:c>
      <x:c r="F463" s="26" t="n">
        <x:v>37</x:v>
      </x:c>
      <x:c r="G463" s="24" t="str">
        <x:v>中</x:v>
      </x:c>
      <x:c r="H463" s="24" t="str">
        <x:v>重</x:v>
      </x:c>
      <x:c r="I463" s="24" t="str">
        <x:v>否</x:v>
      </x:c>
      <x:c r="J463" s="24" t="str">
        <x:v>否</x:v>
      </x:c>
      <x:c r="K463" s="24" t="str">
        <x:v>否</x:v>
      </x:c>
      <x:c r="L463" s="24" t="str"/>
      <x:c r="M463" s="28" t="n">
        <x:v>1.1</x:v>
      </x:c>
      <x:c r="N463" s="26" t="n">
        <x:v>247</x:v>
      </x:c>
      <x:c r="O463" s="26" t="n">
        <x:v>48</x:v>
      </x:c>
      <x:c r="P463" s="24" t="str">
        <x:v>是</x:v>
      </x:c>
      <x:c r="Q463" s="24" t="str">
        <x:v>1區</x:v>
      </x:c>
      <x:c r="R463" s="26" t="n">
        <x:v>39</x:v>
      </x:c>
      <x:c r="S463" s="24" t="str">
        <x:v>中頻、重物</x:v>
      </x:c>
    </x:row>
    <x:row r="464">
      <x:c r="A464" s="24" t="str">
        <x:v>PX0460</x:v>
      </x:c>
      <x:c r="B464" s="24" t="str">
        <x:v>中秋禮盒-促銷組</x:v>
      </x:c>
      <x:c r="C464" s="24" t="str">
        <x:v>季節商品</x:v>
      </x:c>
      <x:c r="D464" s="24" t="str">
        <x:v>Cluster 4</x:v>
      </x:c>
      <x:c r="E464" s="26" t="n">
        <x:v>94</x:v>
      </x:c>
      <x:c r="F464" s="26" t="n">
        <x:v>67</x:v>
      </x:c>
      <x:c r="G464" s="24" t="str">
        <x:v>大</x:v>
      </x:c>
      <x:c r="H464" s="24" t="str">
        <x:v>輕</x:v>
      </x:c>
      <x:c r="I464" s="24" t="str">
        <x:v>否</x:v>
      </x:c>
      <x:c r="J464" s="24" t="str">
        <x:v>是</x:v>
      </x:c>
      <x:c r="K464" s="24" t="str">
        <x:v>是</x:v>
      </x:c>
      <x:c r="L464" s="24" t="str">
        <x:v>1-2月</x:v>
      </x:c>
      <x:c r="M464" s="28" t="n">
        <x:v>2.5</x:v>
      </x:c>
      <x:c r="N464" s="26" t="n">
        <x:v>438</x:v>
      </x:c>
      <x:c r="O464" s="26" t="n">
        <x:v>30</x:v>
      </x:c>
      <x:c r="P464" s="24" t="str">
        <x:v>是</x:v>
      </x:c>
      <x:c r="Q464" s="24" t="str">
        <x:v>K區</x:v>
      </x:c>
      <x:c r="R464" s="26" t="n">
        <x:v>49</x:v>
      </x:c>
      <x:c r="S464" s="24" t="str">
        <x:v>高頻、體積大、易碎、季節性</x:v>
      </x:c>
    </x:row>
    <x:row r="465">
      <x:c r="A465" s="24" t="str">
        <x:v>PX0461</x:v>
      </x:c>
      <x:c r="B465" s="24" t="str">
        <x:v>餅乾箱-標準箱</x:v>
      </x:c>
      <x:c r="C465" s="24" t="str">
        <x:v>食品類</x:v>
      </x:c>
      <x:c r="D465" s="24" t="str">
        <x:v>Cluster 5</x:v>
      </x:c>
      <x:c r="E465" s="26" t="n">
        <x:v>118</x:v>
      </x:c>
      <x:c r="F465" s="26" t="n">
        <x:v>79</x:v>
      </x:c>
      <x:c r="G465" s="24" t="str">
        <x:v>小</x:v>
      </x:c>
      <x:c r="H465" s="24" t="str">
        <x:v>輕</x:v>
      </x:c>
      <x:c r="I465" s="24" t="str">
        <x:v>否</x:v>
      </x:c>
      <x:c r="J465" s="24" t="str">
        <x:v>否</x:v>
      </x:c>
      <x:c r="K465" s="24" t="str">
        <x:v>否</x:v>
      </x:c>
      <x:c r="L465" s="24" t="str"/>
      <x:c r="M465" s="28" t="n">
        <x:v>1</x:v>
      </x:c>
      <x:c r="N465" s="26" t="n">
        <x:v>547</x:v>
      </x:c>
      <x:c r="O465" s="26" t="n">
        <x:v>48</x:v>
      </x:c>
      <x:c r="P465" s="24" t="str">
        <x:v>是</x:v>
      </x:c>
      <x:c r="Q465" s="24" t="str">
        <x:v>K區</x:v>
      </x:c>
      <x:c r="R465" s="26" t="n">
        <x:v>45</x:v>
      </x:c>
      <x:c r="S465" s="24" t="str">
        <x:v>高頻</x:v>
      </x:c>
    </x:row>
    <x:row r="466">
      <x:c r="A466" s="24" t="str">
        <x:v>PX0462</x:v>
      </x:c>
      <x:c r="B466" s="24" t="str">
        <x:v>貓砂10L-促銷組</x:v>
      </x:c>
      <x:c r="C466" s="24" t="str">
        <x:v>寵物用品</x:v>
      </x:c>
      <x:c r="D466" s="24" t="str">
        <x:v>Cluster 2</x:v>
      </x:c>
      <x:c r="E466" s="26" t="n">
        <x:v>80</x:v>
      </x:c>
      <x:c r="F466" s="26" t="n">
        <x:v>46</x:v>
      </x:c>
      <x:c r="G466" s="24" t="str">
        <x:v>大</x:v>
      </x:c>
      <x:c r="H466" s="24" t="str">
        <x:v>重</x:v>
      </x:c>
      <x:c r="I466" s="24" t="str">
        <x:v>否</x:v>
      </x:c>
      <x:c r="J466" s="24" t="str">
        <x:v>否</x:v>
      </x:c>
      <x:c r="K466" s="24" t="str">
        <x:v>否</x:v>
      </x:c>
      <x:c r="L466" s="24" t="str"/>
      <x:c r="M466" s="28" t="n">
        <x:v>1</x:v>
      </x:c>
      <x:c r="N466" s="26" t="n">
        <x:v>288</x:v>
      </x:c>
      <x:c r="O466" s="26" t="n">
        <x:v>30</x:v>
      </x:c>
      <x:c r="P466" s="24" t="str">
        <x:v>是</x:v>
      </x:c>
      <x:c r="Q466" s="24" t="str">
        <x:v>K區</x:v>
      </x:c>
      <x:c r="R466" s="26" t="n">
        <x:v>60</x:v>
      </x:c>
      <x:c r="S466" s="24" t="str">
        <x:v>高頻、體積大、重物</x:v>
      </x:c>
    </x:row>
    <x:row r="467">
      <x:c r="A467" s="24" t="str">
        <x:v>PX0463</x:v>
      </x:c>
      <x:c r="B467" s="24" t="str">
        <x:v>咖啡罐裝整箱-小包裝</x:v>
      </x:c>
      <x:c r="C467" s="24" t="str">
        <x:v>飲品類</x:v>
      </x:c>
      <x:c r="D467" s="24" t="str">
        <x:v>Cluster 1</x:v>
      </x:c>
      <x:c r="E467" s="26" t="n">
        <x:v>76</x:v>
      </x:c>
      <x:c r="F467" s="26" t="n">
        <x:v>36</x:v>
      </x:c>
      <x:c r="G467" s="24" t="str">
        <x:v>中</x:v>
      </x:c>
      <x:c r="H467" s="24" t="str">
        <x:v>中</x:v>
      </x:c>
      <x:c r="I467" s="24" t="str">
        <x:v>是</x:v>
      </x:c>
      <x:c r="J467" s="24" t="str">
        <x:v>否</x:v>
      </x:c>
      <x:c r="K467" s="24" t="str">
        <x:v>否</x:v>
      </x:c>
      <x:c r="L467" s="24" t="str"/>
      <x:c r="M467" s="28" t="n">
        <x:v>1.1</x:v>
      </x:c>
      <x:c r="N467" s="26" t="n">
        <x:v>315</x:v>
      </x:c>
      <x:c r="O467" s="26" t="n">
        <x:v>60</x:v>
      </x:c>
      <x:c r="P467" s="24" t="str">
        <x:v>是</x:v>
      </x:c>
      <x:c r="Q467" s="24" t="str">
        <x:v>K區</x:v>
      </x:c>
      <x:c r="R467" s="26" t="n">
        <x:v>40</x:v>
      </x:c>
      <x:c r="S467" s="24" t="str">
        <x:v>中頻、液體</x:v>
      </x:c>
    </x:row>
    <x:row r="468">
      <x:c r="A468" s="24" t="str">
        <x:v>PX0464</x:v>
      </x:c>
      <x:c r="B468" s="24" t="str">
        <x:v>保鮮膜-促銷組</x:v>
      </x:c>
      <x:c r="C468" s="24" t="str">
        <x:v>家用品</x:v>
      </x:c>
      <x:c r="D468" s="24" t="str">
        <x:v>Cluster 5</x:v>
      </x:c>
      <x:c r="E468" s="26" t="n">
        <x:v>86</x:v>
      </x:c>
      <x:c r="F468" s="26" t="n">
        <x:v>59</x:v>
      </x:c>
      <x:c r="G468" s="24" t="str">
        <x:v>小</x:v>
      </x:c>
      <x:c r="H468" s="24" t="str">
        <x:v>輕</x:v>
      </x:c>
      <x:c r="I468" s="24" t="str">
        <x:v>否</x:v>
      </x:c>
      <x:c r="J468" s="24" t="str">
        <x:v>否</x:v>
      </x:c>
      <x:c r="K468" s="24" t="str">
        <x:v>否</x:v>
      </x:c>
      <x:c r="L468" s="24" t="str"/>
      <x:c r="M468" s="28" t="n">
        <x:v>1.1</x:v>
      </x:c>
      <x:c r="N468" s="26" t="n">
        <x:v>427</x:v>
      </x:c>
      <x:c r="O468" s="26" t="n">
        <x:v>72</x:v>
      </x:c>
      <x:c r="P468" s="24" t="str">
        <x:v>是</x:v>
      </x:c>
      <x:c r="Q468" s="24" t="str">
        <x:v>1區</x:v>
      </x:c>
      <x:c r="R468" s="26" t="n">
        <x:v>34</x:v>
      </x:c>
      <x:c r="S468" s="24" t="str">
        <x:v>高頻</x:v>
      </x:c>
    </x:row>
    <x:row r="469">
      <x:c r="A469" s="24" t="str">
        <x:v>PX0465</x:v>
      </x:c>
      <x:c r="B469" s="24" t="str">
        <x:v>乾電池組-家庭號</x:v>
      </x:c>
      <x:c r="C469" s="24" t="str">
        <x:v>耗材類</x:v>
      </x:c>
      <x:c r="D469" s="24" t="str">
        <x:v>Cluster 5</x:v>
      </x:c>
      <x:c r="E469" s="26" t="n">
        <x:v>43</x:v>
      </x:c>
      <x:c r="F469" s="26" t="n">
        <x:v>31</x:v>
      </x:c>
      <x:c r="G469" s="24" t="str">
        <x:v>中</x:v>
      </x:c>
      <x:c r="H469" s="24" t="str">
        <x:v>中</x:v>
      </x:c>
      <x:c r="I469" s="24" t="str">
        <x:v>否</x:v>
      </x:c>
      <x:c r="J469" s="24" t="str">
        <x:v>否</x:v>
      </x:c>
      <x:c r="K469" s="24" t="str">
        <x:v>否</x:v>
      </x:c>
      <x:c r="L469" s="24" t="str"/>
      <x:c r="M469" s="28" t="n">
        <x:v>1</x:v>
      </x:c>
      <x:c r="N469" s="26" t="n">
        <x:v>97</x:v>
      </x:c>
      <x:c r="O469" s="26" t="str"/>
      <x:c r="P469" s="24" t="str">
        <x:v>否</x:v>
      </x:c>
      <x:c r="Q469" s="24" t="str">
        <x:v>K區</x:v>
      </x:c>
      <x:c r="R469" s="26" t="n">
        <x:v>38</x:v>
      </x:c>
      <x:c r="S469" s="24" t="str">
        <x:v>中頻</x:v>
      </x:c>
    </x:row>
    <x:row r="470">
      <x:c r="A470" s="24" t="str">
        <x:v>PX0466</x:v>
      </x:c>
      <x:c r="B470" s="24" t="str">
        <x:v>衣架組-家庭號</x:v>
      </x:c>
      <x:c r="C470" s="24" t="str">
        <x:v>家用品</x:v>
      </x:c>
      <x:c r="D470" s="24" t="str">
        <x:v>Cluster 3</x:v>
      </x:c>
      <x:c r="E470" s="26" t="n">
        <x:v>151</x:v>
      </x:c>
      <x:c r="F470" s="26" t="n">
        <x:v>67</x:v>
      </x:c>
      <x:c r="G470" s="24" t="str">
        <x:v>大</x:v>
      </x:c>
      <x:c r="H470" s="24" t="str">
        <x:v>重</x:v>
      </x:c>
      <x:c r="I470" s="24" t="str">
        <x:v>否</x:v>
      </x:c>
      <x:c r="J470" s="24" t="str">
        <x:v>否</x:v>
      </x:c>
      <x:c r="K470" s="24" t="str">
        <x:v>否</x:v>
      </x:c>
      <x:c r="L470" s="24" t="str"/>
      <x:c r="M470" s="28" t="n">
        <x:v>1.1</x:v>
      </x:c>
      <x:c r="N470" s="26" t="n">
        <x:v>456</x:v>
      </x:c>
      <x:c r="O470" s="26" t="n">
        <x:v>20</x:v>
      </x:c>
      <x:c r="P470" s="24" t="str">
        <x:v>是</x:v>
      </x:c>
      <x:c r="Q470" s="24" t="str">
        <x:v>A區</x:v>
      </x:c>
      <x:c r="R470" s="26" t="n">
        <x:v>27</x:v>
      </x:c>
      <x:c r="S470" s="24" t="str">
        <x:v>高頻、體積大、重物</x:v>
      </x:c>
    </x:row>
    <x:row r="471">
      <x:c r="A471" s="24" t="str">
        <x:v>PX0467</x:v>
      </x:c>
      <x:c r="B471" s="24" t="str">
        <x:v>端午禮盒-促銷組</x:v>
      </x:c>
      <x:c r="C471" s="24" t="str">
        <x:v>季節商品</x:v>
      </x:c>
      <x:c r="D471" s="24" t="str">
        <x:v>Cluster 4</x:v>
      </x:c>
      <x:c r="E471" s="26" t="n">
        <x:v>50</x:v>
      </x:c>
      <x:c r="F471" s="26" t="n">
        <x:v>9</x:v>
      </x:c>
      <x:c r="G471" s="24" t="str">
        <x:v>大</x:v>
      </x:c>
      <x:c r="H471" s="24" t="str">
        <x:v>輕</x:v>
      </x:c>
      <x:c r="I471" s="24" t="str">
        <x:v>否</x:v>
      </x:c>
      <x:c r="J471" s="24" t="str">
        <x:v>是</x:v>
      </x:c>
      <x:c r="K471" s="24" t="str">
        <x:v>是</x:v>
      </x:c>
      <x:c r="L471" s="24" t="str">
        <x:v>1-2月</x:v>
      </x:c>
      <x:c r="M471" s="28" t="n">
        <x:v>1.8</x:v>
      </x:c>
      <x:c r="N471" s="26" t="n">
        <x:v>104</x:v>
      </x:c>
      <x:c r="O471" s="26" t="n">
        <x:v>24</x:v>
      </x:c>
      <x:c r="P471" s="24" t="str">
        <x:v>是</x:v>
      </x:c>
      <x:c r="Q471" s="24" t="str">
        <x:v>K區</x:v>
      </x:c>
      <x:c r="R471" s="26" t="n">
        <x:v>50</x:v>
      </x:c>
      <x:c r="S471" s="24" t="str">
        <x:v>中頻、體積大、易碎、季節性</x:v>
      </x:c>
    </x:row>
    <x:row r="472">
      <x:c r="A472" s="24" t="str">
        <x:v>PX0468</x:v>
      </x:c>
      <x:c r="B472" s="24" t="str">
        <x:v>食用油-小包裝</x:v>
      </x:c>
      <x:c r="C472" s="24" t="str">
        <x:v>食品類</x:v>
      </x:c>
      <x:c r="D472" s="24" t="str">
        <x:v>Cluster 2</x:v>
      </x:c>
      <x:c r="E472" s="26" t="n">
        <x:v>67</x:v>
      </x:c>
      <x:c r="F472" s="26" t="n">
        <x:v>43</x:v>
      </x:c>
      <x:c r="G472" s="24" t="str">
        <x:v>中</x:v>
      </x:c>
      <x:c r="H472" s="24" t="str">
        <x:v>重</x:v>
      </x:c>
      <x:c r="I472" s="24" t="str">
        <x:v>是</x:v>
      </x:c>
      <x:c r="J472" s="24" t="str">
        <x:v>是</x:v>
      </x:c>
      <x:c r="K472" s="24" t="str">
        <x:v>否</x:v>
      </x:c>
      <x:c r="L472" s="24" t="str"/>
      <x:c r="M472" s="28" t="n">
        <x:v>1</x:v>
      </x:c>
      <x:c r="N472" s="26" t="n">
        <x:v>301</x:v>
      </x:c>
      <x:c r="O472" s="26" t="n">
        <x:v>40</x:v>
      </x:c>
      <x:c r="P472" s="24" t="str">
        <x:v>是</x:v>
      </x:c>
      <x:c r="Q472" s="24" t="str">
        <x:v>1區</x:v>
      </x:c>
      <x:c r="R472" s="26" t="n">
        <x:v>24</x:v>
      </x:c>
      <x:c r="S472" s="24" t="str">
        <x:v>中頻、重物、液體、易碎</x:v>
      </x:c>
    </x:row>
    <x:row r="473">
      <x:c r="A473" s="24" t="str">
        <x:v>PX0469</x:v>
      </x:c>
      <x:c r="B473" s="24" t="str">
        <x:v>玻璃保鮮盒-家庭號</x:v>
      </x:c>
      <x:c r="C473" s="24" t="str">
        <x:v>家用品</x:v>
      </x:c>
      <x:c r="D473" s="24" t="str">
        <x:v>Cluster 1</x:v>
      </x:c>
      <x:c r="E473" s="26" t="n">
        <x:v>62</x:v>
      </x:c>
      <x:c r="F473" s="26" t="n">
        <x:v>35</x:v>
      </x:c>
      <x:c r="G473" s="24" t="str">
        <x:v>中</x:v>
      </x:c>
      <x:c r="H473" s="24" t="str">
        <x:v>中</x:v>
      </x:c>
      <x:c r="I473" s="24" t="str">
        <x:v>否</x:v>
      </x:c>
      <x:c r="J473" s="24" t="str">
        <x:v>是</x:v>
      </x:c>
      <x:c r="K473" s="24" t="str">
        <x:v>否</x:v>
      </x:c>
      <x:c r="L473" s="24" t="str"/>
      <x:c r="M473" s="28" t="n">
        <x:v>1.1</x:v>
      </x:c>
      <x:c r="N473" s="26" t="n">
        <x:v>202</x:v>
      </x:c>
      <x:c r="O473" s="26" t="n">
        <x:v>48</x:v>
      </x:c>
      <x:c r="P473" s="24" t="str">
        <x:v>是</x:v>
      </x:c>
      <x:c r="Q473" s="24" t="str">
        <x:v>1區</x:v>
      </x:c>
      <x:c r="R473" s="26" t="n">
        <x:v>33</x:v>
      </x:c>
      <x:c r="S473" s="24" t="str">
        <x:v>中頻、易碎</x:v>
      </x:c>
    </x:row>
    <x:row r="474">
      <x:c r="A474" s="24" t="str">
        <x:v>PX0470</x:v>
      </x:c>
      <x:c r="B474" s="24" t="str">
        <x:v>浴廁清潔劑-箱裝</x:v>
      </x:c>
      <x:c r="C474" s="24" t="str">
        <x:v>清潔用品</x:v>
      </x:c>
      <x:c r="D474" s="24" t="str">
        <x:v>Cluster 1</x:v>
      </x:c>
      <x:c r="E474" s="26" t="n">
        <x:v>9</x:v>
      </x:c>
      <x:c r="F474" s="26" t="n">
        <x:v>6</x:v>
      </x:c>
      <x:c r="G474" s="24" t="str">
        <x:v>中</x:v>
      </x:c>
      <x:c r="H474" s="24" t="str">
        <x:v>中</x:v>
      </x:c>
      <x:c r="I474" s="24" t="str">
        <x:v>是</x:v>
      </x:c>
      <x:c r="J474" s="24" t="str">
        <x:v>否</x:v>
      </x:c>
      <x:c r="K474" s="24" t="str">
        <x:v>否</x:v>
      </x:c>
      <x:c r="L474" s="24" t="str"/>
      <x:c r="M474" s="28" t="n">
        <x:v>1.1</x:v>
      </x:c>
      <x:c r="N474" s="26" t="n">
        <x:v>19</x:v>
      </x:c>
      <x:c r="O474" s="26" t="n">
        <x:v>72</x:v>
      </x:c>
      <x:c r="P474" s="24" t="str">
        <x:v>是</x:v>
      </x:c>
      <x:c r="Q474" s="24" t="str">
        <x:v>遠端區</x:v>
      </x:c>
      <x:c r="R474" s="26" t="n">
        <x:v>73</x:v>
      </x:c>
      <x:c r="S474" s="24" t="str">
        <x:v>低頻、液體</x:v>
      </x:c>
    </x:row>
    <x:row r="475">
      <x:c r="A475" s="24" t="str">
        <x:v>PX0471</x:v>
      </x:c>
      <x:c r="B475" s="24" t="str">
        <x:v>家庭號礦泉水-小包裝</x:v>
      </x:c>
      <x:c r="C475" s="24" t="str">
        <x:v>飲品類</x:v>
      </x:c>
      <x:c r="D475" s="24" t="str">
        <x:v>Cluster 1</x:v>
      </x:c>
      <x:c r="E475" s="26" t="n">
        <x:v>40</x:v>
      </x:c>
      <x:c r="F475" s="26" t="n">
        <x:v>23</x:v>
      </x:c>
      <x:c r="G475" s="24" t="str">
        <x:v>中</x:v>
      </x:c>
      <x:c r="H475" s="24" t="str">
        <x:v>重</x:v>
      </x:c>
      <x:c r="I475" s="24" t="str">
        <x:v>是</x:v>
      </x:c>
      <x:c r="J475" s="24" t="str">
        <x:v>否</x:v>
      </x:c>
      <x:c r="K475" s="24" t="str">
        <x:v>否</x:v>
      </x:c>
      <x:c r="L475" s="24" t="str"/>
      <x:c r="M475" s="28" t="n">
        <x:v>1.3</x:v>
      </x:c>
      <x:c r="N475" s="26" t="n">
        <x:v>155</x:v>
      </x:c>
      <x:c r="O475" s="26" t="n">
        <x:v>40</x:v>
      </x:c>
      <x:c r="P475" s="24" t="str">
        <x:v>是</x:v>
      </x:c>
      <x:c r="Q475" s="24" t="str">
        <x:v>A區</x:v>
      </x:c>
      <x:c r="R475" s="26" t="n">
        <x:v>34</x:v>
      </x:c>
      <x:c r="S475" s="24" t="str">
        <x:v>中頻、重物、液體</x:v>
      </x:c>
    </x:row>
    <x:row r="476">
      <x:c r="A476" s="24" t="str">
        <x:v>PX0472</x:v>
      </x:c>
      <x:c r="B476" s="24" t="str">
        <x:v>咖啡罐裝整箱-小包裝</x:v>
      </x:c>
      <x:c r="C476" s="24" t="str">
        <x:v>飲品類</x:v>
      </x:c>
      <x:c r="D476" s="24" t="str">
        <x:v>Cluster 1</x:v>
      </x:c>
      <x:c r="E476" s="26" t="n">
        <x:v>73</x:v>
      </x:c>
      <x:c r="F476" s="26" t="n">
        <x:v>49</x:v>
      </x:c>
      <x:c r="G476" s="24" t="str">
        <x:v>中</x:v>
      </x:c>
      <x:c r="H476" s="24" t="str">
        <x:v>中</x:v>
      </x:c>
      <x:c r="I476" s="24" t="str">
        <x:v>是</x:v>
      </x:c>
      <x:c r="J476" s="24" t="str">
        <x:v>否</x:v>
      </x:c>
      <x:c r="K476" s="24" t="str">
        <x:v>否</x:v>
      </x:c>
      <x:c r="L476" s="24" t="str"/>
      <x:c r="M476" s="28" t="n">
        <x:v>1</x:v>
      </x:c>
      <x:c r="N476" s="26" t="n">
        <x:v>156</x:v>
      </x:c>
      <x:c r="O476" s="26" t="n">
        <x:v>48</x:v>
      </x:c>
      <x:c r="P476" s="24" t="str">
        <x:v>是</x:v>
      </x:c>
      <x:c r="Q476" s="24" t="str">
        <x:v>K區</x:v>
      </x:c>
      <x:c r="R476" s="26" t="n">
        <x:v>56</x:v>
      </x:c>
      <x:c r="S476" s="24" t="str">
        <x:v>中頻、液體</x:v>
      </x:c>
    </x:row>
    <x:row r="477">
      <x:c r="A477" s="24" t="str">
        <x:v>PX0473</x:v>
      </x:c>
      <x:c r="B477" s="24" t="str">
        <x:v>年節禮盒組-補充包</x:v>
      </x:c>
      <x:c r="C477" s="24" t="str">
        <x:v>季節商品</x:v>
      </x:c>
      <x:c r="D477" s="24" t="str">
        <x:v>Cluster 4</x:v>
      </x:c>
      <x:c r="E477" s="26" t="n">
        <x:v>46</x:v>
      </x:c>
      <x:c r="F477" s="26" t="n">
        <x:v>13</x:v>
      </x:c>
      <x:c r="G477" s="24" t="str">
        <x:v>大</x:v>
      </x:c>
      <x:c r="H477" s="24" t="str">
        <x:v>輕</x:v>
      </x:c>
      <x:c r="I477" s="24" t="str">
        <x:v>否</x:v>
      </x:c>
      <x:c r="J477" s="24" t="str">
        <x:v>是</x:v>
      </x:c>
      <x:c r="K477" s="24" t="str">
        <x:v>是</x:v>
      </x:c>
      <x:c r="L477" s="24" t="str">
        <x:v>1-2月</x:v>
      </x:c>
      <x:c r="M477" s="28" t="n">
        <x:v>3</x:v>
      </x:c>
      <x:c r="N477" s="26" t="n">
        <x:v>133</x:v>
      </x:c>
      <x:c r="O477" s="26" t="n">
        <x:v>18</x:v>
      </x:c>
      <x:c r="P477" s="24" t="str">
        <x:v>是</x:v>
      </x:c>
      <x:c r="Q477" s="24" t="str">
        <x:v>彈性區</x:v>
      </x:c>
      <x:c r="R477" s="26" t="n">
        <x:v>63</x:v>
      </x:c>
      <x:c r="S477" s="24" t="str">
        <x:v>中頻、體積大、易碎、季節性</x:v>
      </x:c>
    </x:row>
    <x:row r="478">
      <x:c r="A478" s="24" t="str">
        <x:v>PX0474</x:v>
      </x:c>
      <x:c r="B478" s="24" t="str">
        <x:v>泡麵箱-小包裝</x:v>
      </x:c>
      <x:c r="C478" s="24" t="str">
        <x:v>食品類</x:v>
      </x:c>
      <x:c r="D478" s="24" t="str">
        <x:v>Cluster 5</x:v>
      </x:c>
      <x:c r="E478" s="26" t="n">
        <x:v>41</x:v>
      </x:c>
      <x:c r="F478" s="26" t="n">
        <x:v>24</x:v>
      </x:c>
      <x:c r="G478" s="24" t="str">
        <x:v>中</x:v>
      </x:c>
      <x:c r="H478" s="24" t="str">
        <x:v>中</x:v>
      </x:c>
      <x:c r="I478" s="24" t="str">
        <x:v>否</x:v>
      </x:c>
      <x:c r="J478" s="24" t="str">
        <x:v>否</x:v>
      </x:c>
      <x:c r="K478" s="24" t="str">
        <x:v>否</x:v>
      </x:c>
      <x:c r="L478" s="24" t="str"/>
      <x:c r="M478" s="28" t="n">
        <x:v>1</x:v>
      </x:c>
      <x:c r="N478" s="26" t="n">
        <x:v>123</x:v>
      </x:c>
      <x:c r="O478" s="26" t="str"/>
      <x:c r="P478" s="24" t="str">
        <x:v>否</x:v>
      </x:c>
      <x:c r="Q478" s="24" t="str">
        <x:v>1區</x:v>
      </x:c>
      <x:c r="R478" s="26" t="n">
        <x:v>22</x:v>
      </x:c>
      <x:c r="S478" s="24" t="str">
        <x:v>中頻</x:v>
      </x:c>
    </x:row>
    <x:row r="479">
      <x:c r="A479" s="24" t="str">
        <x:v>PX0475</x:v>
      </x:c>
      <x:c r="B479" s="24" t="str">
        <x:v>垃圾袋-補充包</x:v>
      </x:c>
      <x:c r="C479" s="24" t="str">
        <x:v>日用品</x:v>
      </x:c>
      <x:c r="D479" s="24" t="str">
        <x:v>Cluster 4</x:v>
      </x:c>
      <x:c r="E479" s="26" t="n">
        <x:v>36</x:v>
      </x:c>
      <x:c r="F479" s="26" t="n">
        <x:v>15</x:v>
      </x:c>
      <x:c r="G479" s="24" t="str">
        <x:v>小</x:v>
      </x:c>
      <x:c r="H479" s="24" t="str">
        <x:v>輕</x:v>
      </x:c>
      <x:c r="I479" s="24" t="str">
        <x:v>否</x:v>
      </x:c>
      <x:c r="J479" s="24" t="str">
        <x:v>否</x:v>
      </x:c>
      <x:c r="K479" s="24" t="str">
        <x:v>是</x:v>
      </x:c>
      <x:c r="L479" s="24" t="str">
        <x:v>旺季</x:v>
      </x:c>
      <x:c r="M479" s="28" t="n">
        <x:v>2</x:v>
      </x:c>
      <x:c r="N479" s="26" t="n">
        <x:v>109</x:v>
      </x:c>
      <x:c r="O479" s="26" t="str"/>
      <x:c r="P479" s="24" t="str">
        <x:v>否</x:v>
      </x:c>
      <x:c r="Q479" s="24" t="str">
        <x:v>1區</x:v>
      </x:c>
      <x:c r="R479" s="26" t="n">
        <x:v>42</x:v>
      </x:c>
      <x:c r="S479" s="24" t="str">
        <x:v>中頻、季節性</x:v>
      </x:c>
    </x:row>
    <x:row r="480">
      <x:c r="A480" s="24" t="str">
        <x:v>PX0476</x:v>
      </x:c>
      <x:c r="B480" s="24" t="str">
        <x:v>廚房紙巾-標準箱</x:v>
      </x:c>
      <x:c r="C480" s="24" t="str">
        <x:v>紙品類</x:v>
      </x:c>
      <x:c r="D480" s="24" t="str">
        <x:v>Cluster 2</x:v>
      </x:c>
      <x:c r="E480" s="26" t="n">
        <x:v>57</x:v>
      </x:c>
      <x:c r="F480" s="26" t="n">
        <x:v>38</x:v>
      </x:c>
      <x:c r="G480" s="24" t="str">
        <x:v>大</x:v>
      </x:c>
      <x:c r="H480" s="24" t="str">
        <x:v>中</x:v>
      </x:c>
      <x:c r="I480" s="24" t="str">
        <x:v>否</x:v>
      </x:c>
      <x:c r="J480" s="24" t="str">
        <x:v>否</x:v>
      </x:c>
      <x:c r="K480" s="24" t="str">
        <x:v>否</x:v>
      </x:c>
      <x:c r="L480" s="24" t="str"/>
      <x:c r="M480" s="28" t="n">
        <x:v>1.1</x:v>
      </x:c>
      <x:c r="N480" s="26" t="n">
        <x:v>248</x:v>
      </x:c>
      <x:c r="O480" s="26" t="n">
        <x:v>20</x:v>
      </x:c>
      <x:c r="P480" s="24" t="str">
        <x:v>是</x:v>
      </x:c>
      <x:c r="Q480" s="24" t="str">
        <x:v>1區</x:v>
      </x:c>
      <x:c r="R480" s="26" t="n">
        <x:v>43</x:v>
      </x:c>
      <x:c r="S480" s="24" t="str">
        <x:v>中頻、體積大</x:v>
      </x:c>
    </x:row>
    <x:row r="481">
      <x:c r="A481" s="24" t="str">
        <x:v>PX0477</x:v>
      </x:c>
      <x:c r="B481" s="24" t="str">
        <x:v>季節禮盒-小包裝</x:v>
      </x:c>
      <x:c r="C481" s="24" t="str">
        <x:v>季節商品</x:v>
      </x:c>
      <x:c r="D481" s="24" t="str">
        <x:v>Cluster 4</x:v>
      </x:c>
      <x:c r="E481" s="26" t="n">
        <x:v>11</x:v>
      </x:c>
      <x:c r="F481" s="26" t="n">
        <x:v>9</x:v>
      </x:c>
      <x:c r="G481" s="24" t="str">
        <x:v>大</x:v>
      </x:c>
      <x:c r="H481" s="24" t="str">
        <x:v>輕</x:v>
      </x:c>
      <x:c r="I481" s="24" t="str">
        <x:v>否</x:v>
      </x:c>
      <x:c r="J481" s="24" t="str">
        <x:v>是</x:v>
      </x:c>
      <x:c r="K481" s="24" t="str">
        <x:v>是</x:v>
      </x:c>
      <x:c r="L481" s="24" t="str">
        <x:v>1-2月</x:v>
      </x:c>
      <x:c r="M481" s="28" t="n">
        <x:v>3</x:v>
      </x:c>
      <x:c r="N481" s="26" t="n">
        <x:v>39</x:v>
      </x:c>
      <x:c r="O481" s="26" t="n">
        <x:v>20</x:v>
      </x:c>
      <x:c r="P481" s="24" t="str">
        <x:v>是</x:v>
      </x:c>
      <x:c r="Q481" s="24" t="str">
        <x:v>K區</x:v>
      </x:c>
      <x:c r="R481" s="26" t="n">
        <x:v>53</x:v>
      </x:c>
      <x:c r="S481" s="24" t="str">
        <x:v>低頻、體積大、易碎、季節性</x:v>
      </x:c>
    </x:row>
    <x:row r="482">
      <x:c r="A482" s="24" t="str">
        <x:v>PX0478</x:v>
      </x:c>
      <x:c r="B482" s="24" t="str">
        <x:v>抹布組-小包裝</x:v>
      </x:c>
      <x:c r="C482" s="24" t="str">
        <x:v>家用品</x:v>
      </x:c>
      <x:c r="D482" s="24" t="str">
        <x:v>Cluster 5</x:v>
      </x:c>
      <x:c r="E482" s="26" t="n">
        <x:v>62</x:v>
      </x:c>
      <x:c r="F482" s="26" t="n">
        <x:v>35</x:v>
      </x:c>
      <x:c r="G482" s="24" t="str">
        <x:v>小</x:v>
      </x:c>
      <x:c r="H482" s="24" t="str">
        <x:v>輕</x:v>
      </x:c>
      <x:c r="I482" s="24" t="str">
        <x:v>否</x:v>
      </x:c>
      <x:c r="J482" s="24" t="str">
        <x:v>否</x:v>
      </x:c>
      <x:c r="K482" s="24" t="str">
        <x:v>否</x:v>
      </x:c>
      <x:c r="L482" s="24" t="str"/>
      <x:c r="M482" s="28" t="n">
        <x:v>1</x:v>
      </x:c>
      <x:c r="N482" s="26" t="n">
        <x:v>184</x:v>
      </x:c>
      <x:c r="O482" s="26" t="n">
        <x:v>60</x:v>
      </x:c>
      <x:c r="P482" s="24" t="str">
        <x:v>是</x:v>
      </x:c>
      <x:c r="Q482" s="24" t="str">
        <x:v>3區</x:v>
      </x:c>
      <x:c r="R482" s="26" t="n">
        <x:v>31</x:v>
      </x:c>
      <x:c r="S482" s="24" t="str">
        <x:v>中頻</x:v>
      </x:c>
    </x:row>
    <x:row r="483">
      <x:c r="A483" s="24" t="str">
        <x:v>PX0479</x:v>
      </x:c>
      <x:c r="B483" s="24" t="str">
        <x:v>端午禮盒-箱裝</x:v>
      </x:c>
      <x:c r="C483" s="24" t="str">
        <x:v>季節商品</x:v>
      </x:c>
      <x:c r="D483" s="24" t="str">
        <x:v>Cluster 4</x:v>
      </x:c>
      <x:c r="E483" s="26" t="n">
        <x:v>29</x:v>
      </x:c>
      <x:c r="F483" s="26" t="n">
        <x:v>12</x:v>
      </x:c>
      <x:c r="G483" s="24" t="str">
        <x:v>大</x:v>
      </x:c>
      <x:c r="H483" s="24" t="str">
        <x:v>中</x:v>
      </x:c>
      <x:c r="I483" s="24" t="str">
        <x:v>否</x:v>
      </x:c>
      <x:c r="J483" s="24" t="str">
        <x:v>是</x:v>
      </x:c>
      <x:c r="K483" s="24" t="str">
        <x:v>是</x:v>
      </x:c>
      <x:c r="L483" s="24" t="str">
        <x:v>1-2月</x:v>
      </x:c>
      <x:c r="M483" s="28" t="n">
        <x:v>2.5</x:v>
      </x:c>
      <x:c r="N483" s="26" t="n">
        <x:v>97</x:v>
      </x:c>
      <x:c r="O483" s="26" t="n">
        <x:v>20</x:v>
      </x:c>
      <x:c r="P483" s="24" t="str">
        <x:v>是</x:v>
      </x:c>
      <x:c r="Q483" s="24" t="str">
        <x:v>3區</x:v>
      </x:c>
      <x:c r="R483" s="26" t="n">
        <x:v>50</x:v>
      </x:c>
      <x:c r="S483" s="24" t="str">
        <x:v>低頻、體積大、易碎、季節性</x:v>
      </x:c>
    </x:row>
    <x:row r="484">
      <x:c r="A484" s="24" t="str">
        <x:v>PX0480</x:v>
      </x:c>
      <x:c r="B484" s="24" t="str">
        <x:v>浴廁清潔劑-小包裝</x:v>
      </x:c>
      <x:c r="C484" s="24" t="str">
        <x:v>清潔用品</x:v>
      </x:c>
      <x:c r="D484" s="24" t="str">
        <x:v>Cluster 1</x:v>
      </x:c>
      <x:c r="E484" s="26" t="n">
        <x:v>28</x:v>
      </x:c>
      <x:c r="F484" s="26" t="n">
        <x:v>15</x:v>
      </x:c>
      <x:c r="G484" s="24" t="str">
        <x:v>中</x:v>
      </x:c>
      <x:c r="H484" s="24" t="str">
        <x:v>中</x:v>
      </x:c>
      <x:c r="I484" s="24" t="str">
        <x:v>是</x:v>
      </x:c>
      <x:c r="J484" s="24" t="str">
        <x:v>否</x:v>
      </x:c>
      <x:c r="K484" s="24" t="str">
        <x:v>否</x:v>
      </x:c>
      <x:c r="L484" s="24" t="str"/>
      <x:c r="M484" s="28" t="n">
        <x:v>1.1</x:v>
      </x:c>
      <x:c r="N484" s="26" t="n">
        <x:v>91</x:v>
      </x:c>
      <x:c r="O484" s="26" t="n">
        <x:v>80</x:v>
      </x:c>
      <x:c r="P484" s="24" t="str">
        <x:v>是</x:v>
      </x:c>
      <x:c r="Q484" s="24" t="str">
        <x:v>A區</x:v>
      </x:c>
      <x:c r="R484" s="26" t="n">
        <x:v>18</x:v>
      </x:c>
      <x:c r="S484" s="24" t="str">
        <x:v>低頻、液體</x:v>
      </x:c>
    </x:row>
    <x:row r="485">
      <x:c r="A485" s="24" t="str">
        <x:v>PX0481</x:v>
      </x:c>
      <x:c r="B485" s="24" t="str">
        <x:v>咖啡罐裝整箱-促銷組</x:v>
      </x:c>
      <x:c r="C485" s="24" t="str">
        <x:v>飲品類</x:v>
      </x:c>
      <x:c r="D485" s="24" t="str">
        <x:v>Cluster 1</x:v>
      </x:c>
      <x:c r="E485" s="26" t="n">
        <x:v>159</x:v>
      </x:c>
      <x:c r="F485" s="26" t="n">
        <x:v>50</x:v>
      </x:c>
      <x:c r="G485" s="24" t="str">
        <x:v>小</x:v>
      </x:c>
      <x:c r="H485" s="24" t="str">
        <x:v>中</x:v>
      </x:c>
      <x:c r="I485" s="24" t="str">
        <x:v>是</x:v>
      </x:c>
      <x:c r="J485" s="24" t="str">
        <x:v>否</x:v>
      </x:c>
      <x:c r="K485" s="24" t="str">
        <x:v>否</x:v>
      </x:c>
      <x:c r="L485" s="24" t="str"/>
      <x:c r="M485" s="28" t="n">
        <x:v>1</x:v>
      </x:c>
      <x:c r="N485" s="26" t="n">
        <x:v>362</x:v>
      </x:c>
      <x:c r="O485" s="26" t="n">
        <x:v>80</x:v>
      </x:c>
      <x:c r="P485" s="24" t="str">
        <x:v>是</x:v>
      </x:c>
      <x:c r="Q485" s="24" t="str">
        <x:v>A區</x:v>
      </x:c>
      <x:c r="R485" s="26" t="n">
        <x:v>37</x:v>
      </x:c>
      <x:c r="S485" s="24" t="str">
        <x:v>高頻、液體</x:v>
      </x:c>
    </x:row>
    <x:row r="486">
      <x:c r="A486" s="24" t="str">
        <x:v>PX0482</x:v>
      </x:c>
      <x:c r="B486" s="24" t="str">
        <x:v>瓶裝水600ml-箱裝</x:v>
      </x:c>
      <x:c r="C486" s="24" t="str">
        <x:v>飲品類</x:v>
      </x:c>
      <x:c r="D486" s="24" t="str">
        <x:v>Cluster 2</x:v>
      </x:c>
      <x:c r="E486" s="26" t="n">
        <x:v>77</x:v>
      </x:c>
      <x:c r="F486" s="26" t="n">
        <x:v>53</x:v>
      </x:c>
      <x:c r="G486" s="24" t="str">
        <x:v>中</x:v>
      </x:c>
      <x:c r="H486" s="24" t="str">
        <x:v>重</x:v>
      </x:c>
      <x:c r="I486" s="24" t="str">
        <x:v>是</x:v>
      </x:c>
      <x:c r="J486" s="24" t="str">
        <x:v>否</x:v>
      </x:c>
      <x:c r="K486" s="24" t="str">
        <x:v>否</x:v>
      </x:c>
      <x:c r="L486" s="24" t="str"/>
      <x:c r="M486" s="28" t="n">
        <x:v>1.2</x:v>
      </x:c>
      <x:c r="N486" s="26" t="n">
        <x:v>264</x:v>
      </x:c>
      <x:c r="O486" s="26" t="n">
        <x:v>48</x:v>
      </x:c>
      <x:c r="P486" s="24" t="str">
        <x:v>是</x:v>
      </x:c>
      <x:c r="Q486" s="24" t="str">
        <x:v>1區</x:v>
      </x:c>
      <x:c r="R486" s="26" t="n">
        <x:v>42</x:v>
      </x:c>
      <x:c r="S486" s="24" t="str">
        <x:v>中頻、重物、液體</x:v>
      </x:c>
    </x:row>
    <x:row r="487">
      <x:c r="A487" s="24" t="str">
        <x:v>PX0483</x:v>
      </x:c>
      <x:c r="B487" s="24" t="str">
        <x:v>咖啡罐裝整箱-促銷組</x:v>
      </x:c>
      <x:c r="C487" s="24" t="str">
        <x:v>飲品類</x:v>
      </x:c>
      <x:c r="D487" s="24" t="str">
        <x:v>Cluster 1</x:v>
      </x:c>
      <x:c r="E487" s="26" t="n">
        <x:v>46</x:v>
      </x:c>
      <x:c r="F487" s="26" t="n">
        <x:v>24</x:v>
      </x:c>
      <x:c r="G487" s="24" t="str">
        <x:v>小</x:v>
      </x:c>
      <x:c r="H487" s="24" t="str">
        <x:v>中</x:v>
      </x:c>
      <x:c r="I487" s="24" t="str">
        <x:v>是</x:v>
      </x:c>
      <x:c r="J487" s="24" t="str">
        <x:v>否</x:v>
      </x:c>
      <x:c r="K487" s="24" t="str">
        <x:v>否</x:v>
      </x:c>
      <x:c r="L487" s="24" t="str"/>
      <x:c r="M487" s="28" t="n">
        <x:v>1</x:v>
      </x:c>
      <x:c r="N487" s="26" t="n">
        <x:v>142</x:v>
      </x:c>
      <x:c r="O487" s="26" t="n">
        <x:v>80</x:v>
      </x:c>
      <x:c r="P487" s="24" t="str">
        <x:v>是</x:v>
      </x:c>
      <x:c r="Q487" s="24" t="str">
        <x:v>A區</x:v>
      </x:c>
      <x:c r="R487" s="26" t="n">
        <x:v>26</x:v>
      </x:c>
      <x:c r="S487" s="24" t="str">
        <x:v>中頻、液體</x:v>
      </x:c>
    </x:row>
    <x:row r="488">
      <x:c r="A488" s="24" t="str">
        <x:v>PX0484</x:v>
      </x:c>
      <x:c r="B488" s="24" t="str">
        <x:v>廚房紙巾-補充包</x:v>
      </x:c>
      <x:c r="C488" s="24" t="str">
        <x:v>紙品類</x:v>
      </x:c>
      <x:c r="D488" s="24" t="str">
        <x:v>Cluster 2</x:v>
      </x:c>
      <x:c r="E488" s="26" t="n">
        <x:v>55</x:v>
      </x:c>
      <x:c r="F488" s="26" t="n">
        <x:v>27</x:v>
      </x:c>
      <x:c r="G488" s="24" t="str">
        <x:v>大</x:v>
      </x:c>
      <x:c r="H488" s="24" t="str">
        <x:v>重</x:v>
      </x:c>
      <x:c r="I488" s="24" t="str">
        <x:v>否</x:v>
      </x:c>
      <x:c r="J488" s="24" t="str">
        <x:v>否</x:v>
      </x:c>
      <x:c r="K488" s="24" t="str">
        <x:v>否</x:v>
      </x:c>
      <x:c r="L488" s="24" t="str"/>
      <x:c r="M488" s="28" t="n">
        <x:v>1.1</x:v>
      </x:c>
      <x:c r="N488" s="26" t="n">
        <x:v>202</x:v>
      </x:c>
      <x:c r="O488" s="26" t="n">
        <x:v>30</x:v>
      </x:c>
      <x:c r="P488" s="24" t="str">
        <x:v>是</x:v>
      </x:c>
      <x:c r="Q488" s="24" t="str">
        <x:v>K區</x:v>
      </x:c>
      <x:c r="R488" s="26" t="n">
        <x:v>51</x:v>
      </x:c>
      <x:c r="S488" s="24" t="str">
        <x:v>中頻、體積大、重物</x:v>
      </x:c>
    </x:row>
    <x:row r="489">
      <x:c r="A489" s="24" t="str">
        <x:v>PX0485</x:v>
      </x:c>
      <x:c r="B489" s="24" t="str">
        <x:v>運動飲料整箱-小包裝</x:v>
      </x:c>
      <x:c r="C489" s="24" t="str">
        <x:v>飲品類</x:v>
      </x:c>
      <x:c r="D489" s="24" t="str">
        <x:v>Cluster 3</x:v>
      </x:c>
      <x:c r="E489" s="26" t="n">
        <x:v>173</x:v>
      </x:c>
      <x:c r="F489" s="26" t="n">
        <x:v>61</x:v>
      </x:c>
      <x:c r="G489" s="24" t="str">
        <x:v>中</x:v>
      </x:c>
      <x:c r="H489" s="24" t="str">
        <x:v>重</x:v>
      </x:c>
      <x:c r="I489" s="24" t="str">
        <x:v>是</x:v>
      </x:c>
      <x:c r="J489" s="24" t="str">
        <x:v>是</x:v>
      </x:c>
      <x:c r="K489" s="24" t="str">
        <x:v>否</x:v>
      </x:c>
      <x:c r="L489" s="24" t="str"/>
      <x:c r="M489" s="28" t="n">
        <x:v>1.3</x:v>
      </x:c>
      <x:c r="N489" s="26" t="n">
        <x:v>649</x:v>
      </x:c>
      <x:c r="O489" s="26" t="n">
        <x:v>48</x:v>
      </x:c>
      <x:c r="P489" s="24" t="str">
        <x:v>是</x:v>
      </x:c>
      <x:c r="Q489" s="24" t="str">
        <x:v>K區</x:v>
      </x:c>
      <x:c r="R489" s="26" t="n">
        <x:v>58</x:v>
      </x:c>
      <x:c r="S489" s="24" t="str">
        <x:v>高頻、重物、液體、易碎</x:v>
      </x:c>
    </x:row>
    <x:row r="490">
      <x:c r="A490" s="24" t="str">
        <x:v>PX0486</x:v>
      </x:c>
      <x:c r="B490" s="24" t="str">
        <x:v>擦手紙箱-促銷組</x:v>
      </x:c>
      <x:c r="C490" s="24" t="str">
        <x:v>紙品類</x:v>
      </x:c>
      <x:c r="D490" s="24" t="str">
        <x:v>Cluster 2</x:v>
      </x:c>
      <x:c r="E490" s="26" t="n">
        <x:v>67</x:v>
      </x:c>
      <x:c r="F490" s="26" t="n">
        <x:v>39</x:v>
      </x:c>
      <x:c r="G490" s="24" t="str">
        <x:v>大</x:v>
      </x:c>
      <x:c r="H490" s="24" t="str">
        <x:v>輕</x:v>
      </x:c>
      <x:c r="I490" s="24" t="str">
        <x:v>否</x:v>
      </x:c>
      <x:c r="J490" s="24" t="str">
        <x:v>否</x:v>
      </x:c>
      <x:c r="K490" s="24" t="str">
        <x:v>否</x:v>
      </x:c>
      <x:c r="L490" s="24" t="str"/>
      <x:c r="M490" s="28" t="n">
        <x:v>1</x:v>
      </x:c>
      <x:c r="N490" s="26" t="n">
        <x:v>272</x:v>
      </x:c>
      <x:c r="O490" s="26" t="n">
        <x:v>30</x:v>
      </x:c>
      <x:c r="P490" s="24" t="str">
        <x:v>是</x:v>
      </x:c>
      <x:c r="Q490" s="24" t="str">
        <x:v>K區</x:v>
      </x:c>
      <x:c r="R490" s="26" t="n">
        <x:v>38</x:v>
      </x:c>
      <x:c r="S490" s="24" t="str">
        <x:v>中頻、體積大</x:v>
      </x:c>
    </x:row>
    <x:row r="491">
      <x:c r="A491" s="24" t="str">
        <x:v>PX0487</x:v>
      </x:c>
      <x:c r="B491" s="24" t="str">
        <x:v>碳酸飲料整箱-箱裝</x:v>
      </x:c>
      <x:c r="C491" s="24" t="str">
        <x:v>飲品類</x:v>
      </x:c>
      <x:c r="D491" s="24" t="str">
        <x:v>Cluster 2</x:v>
      </x:c>
      <x:c r="E491" s="26" t="n">
        <x:v>56</x:v>
      </x:c>
      <x:c r="F491" s="26" t="n">
        <x:v>26</x:v>
      </x:c>
      <x:c r="G491" s="24" t="str">
        <x:v>中</x:v>
      </x:c>
      <x:c r="H491" s="24" t="str">
        <x:v>重</x:v>
      </x:c>
      <x:c r="I491" s="24" t="str">
        <x:v>是</x:v>
      </x:c>
      <x:c r="J491" s="24" t="str">
        <x:v>否</x:v>
      </x:c>
      <x:c r="K491" s="24" t="str">
        <x:v>否</x:v>
      </x:c>
      <x:c r="L491" s="24" t="str"/>
      <x:c r="M491" s="28" t="n">
        <x:v>1.5</x:v>
      </x:c>
      <x:c r="N491" s="26" t="n">
        <x:v>275</x:v>
      </x:c>
      <x:c r="O491" s="26" t="n">
        <x:v>36</x:v>
      </x:c>
      <x:c r="P491" s="24" t="str">
        <x:v>是</x:v>
      </x:c>
      <x:c r="Q491" s="24" t="str">
        <x:v>彈性區</x:v>
      </x:c>
      <x:c r="R491" s="26" t="n">
        <x:v>59</x:v>
      </x:c>
      <x:c r="S491" s="24" t="str">
        <x:v>中頻、重物、液體</x:v>
      </x:c>
    </x:row>
    <x:row r="492">
      <x:c r="A492" s="24" t="str">
        <x:v>PX0488</x:v>
      </x:c>
      <x:c r="B492" s="24" t="str">
        <x:v>牙刷組-家庭號</x:v>
      </x:c>
      <x:c r="C492" s="24" t="str">
        <x:v>日用品</x:v>
      </x:c>
      <x:c r="D492" s="24" t="str">
        <x:v>Cluster 5</x:v>
      </x:c>
      <x:c r="E492" s="26" t="n">
        <x:v>54</x:v>
      </x:c>
      <x:c r="F492" s="26" t="n">
        <x:v>38</x:v>
      </x:c>
      <x:c r="G492" s="24" t="str">
        <x:v>中</x:v>
      </x:c>
      <x:c r="H492" s="24" t="str">
        <x:v>中</x:v>
      </x:c>
      <x:c r="I492" s="24" t="str">
        <x:v>否</x:v>
      </x:c>
      <x:c r="J492" s="24" t="str">
        <x:v>否</x:v>
      </x:c>
      <x:c r="K492" s="24" t="str">
        <x:v>否</x:v>
      </x:c>
      <x:c r="L492" s="24" t="str"/>
      <x:c r="M492" s="28" t="n">
        <x:v>1</x:v>
      </x:c>
      <x:c r="N492" s="26" t="n">
        <x:v>189</x:v>
      </x:c>
      <x:c r="O492" s="26" t="n">
        <x:v>80</x:v>
      </x:c>
      <x:c r="P492" s="24" t="str">
        <x:v>是</x:v>
      </x:c>
      <x:c r="Q492" s="24" t="str">
        <x:v>彈性區</x:v>
      </x:c>
      <x:c r="R492" s="26" t="n">
        <x:v>51</x:v>
      </x:c>
      <x:c r="S492" s="24" t="str">
        <x:v>中頻</x:v>
      </x:c>
    </x:row>
    <x:row r="493">
      <x:c r="A493" s="24" t="str">
        <x:v>PX0489</x:v>
      </x:c>
      <x:c r="B493" s="24" t="str">
        <x:v>泡麵箱-家庭號</x:v>
      </x:c>
      <x:c r="C493" s="24" t="str">
        <x:v>食品類</x:v>
      </x:c>
      <x:c r="D493" s="24" t="str">
        <x:v>Cluster 4</x:v>
      </x:c>
      <x:c r="E493" s="26" t="n">
        <x:v>32</x:v>
      </x:c>
      <x:c r="F493" s="26" t="n">
        <x:v>6</x:v>
      </x:c>
      <x:c r="G493" s="24" t="str">
        <x:v>中</x:v>
      </x:c>
      <x:c r="H493" s="24" t="str">
        <x:v>中</x:v>
      </x:c>
      <x:c r="I493" s="24" t="str">
        <x:v>否</x:v>
      </x:c>
      <x:c r="J493" s="24" t="str">
        <x:v>否</x:v>
      </x:c>
      <x:c r="K493" s="24" t="str">
        <x:v>是</x:v>
      </x:c>
      <x:c r="L493" s="24" t="str">
        <x:v>旺季</x:v>
      </x:c>
      <x:c r="M493" s="28" t="n">
        <x:v>3</x:v>
      </x:c>
      <x:c r="N493" s="26" t="n">
        <x:v>76</x:v>
      </x:c>
      <x:c r="O493" s="26" t="str"/>
      <x:c r="P493" s="24" t="str">
        <x:v>否</x:v>
      </x:c>
      <x:c r="Q493" s="24" t="str">
        <x:v>遠端區</x:v>
      </x:c>
      <x:c r="R493" s="26" t="n">
        <x:v>69</x:v>
      </x:c>
      <x:c r="S493" s="24" t="str">
        <x:v>低頻、季節性</x:v>
      </x:c>
    </x:row>
    <x:row r="494">
      <x:c r="A494" s="24" t="str">
        <x:v>PX0490</x:v>
      </x:c>
      <x:c r="B494" s="24" t="str">
        <x:v>廚房紙巾-標準箱</x:v>
      </x:c>
      <x:c r="C494" s="24" t="str">
        <x:v>紙品類</x:v>
      </x:c>
      <x:c r="D494" s="24" t="str">
        <x:v>Cluster 2</x:v>
      </x:c>
      <x:c r="E494" s="26" t="n">
        <x:v>88</x:v>
      </x:c>
      <x:c r="F494" s="26" t="n">
        <x:v>57</x:v>
      </x:c>
      <x:c r="G494" s="24" t="str">
        <x:v>大</x:v>
      </x:c>
      <x:c r="H494" s="24" t="str">
        <x:v>輕</x:v>
      </x:c>
      <x:c r="I494" s="24" t="str">
        <x:v>否</x:v>
      </x:c>
      <x:c r="J494" s="24" t="str">
        <x:v>否</x:v>
      </x:c>
      <x:c r="K494" s="24" t="str">
        <x:v>否</x:v>
      </x:c>
      <x:c r="L494" s="24" t="str"/>
      <x:c r="M494" s="28" t="n">
        <x:v>1.1</x:v>
      </x:c>
      <x:c r="N494" s="26" t="n">
        <x:v>232</x:v>
      </x:c>
      <x:c r="O494" s="26" t="n">
        <x:v>30</x:v>
      </x:c>
      <x:c r="P494" s="24" t="str">
        <x:v>是</x:v>
      </x:c>
      <x:c r="Q494" s="24" t="str">
        <x:v>K區</x:v>
      </x:c>
      <x:c r="R494" s="26" t="n">
        <x:v>45</x:v>
      </x:c>
      <x:c r="S494" s="24" t="str">
        <x:v>高頻、體積大</x:v>
      </x:c>
    </x:row>
    <x:row r="495">
      <x:c r="A495" s="24" t="str">
        <x:v>PX0491</x:v>
      </x:c>
      <x:c r="B495" s="24" t="str">
        <x:v>咖哩塊箱-小包裝</x:v>
      </x:c>
      <x:c r="C495" s="24" t="str">
        <x:v>食品類</x:v>
      </x:c>
      <x:c r="D495" s="24" t="str">
        <x:v>Cluster 4</x:v>
      </x:c>
      <x:c r="E495" s="26" t="n">
        <x:v>49</x:v>
      </x:c>
      <x:c r="F495" s="26" t="n">
        <x:v>8</x:v>
      </x:c>
      <x:c r="G495" s="24" t="str">
        <x:v>中</x:v>
      </x:c>
      <x:c r="H495" s="24" t="str">
        <x:v>中</x:v>
      </x:c>
      <x:c r="I495" s="24" t="str">
        <x:v>否</x:v>
      </x:c>
      <x:c r="J495" s="24" t="str">
        <x:v>否</x:v>
      </x:c>
      <x:c r="K495" s="24" t="str">
        <x:v>是</x:v>
      </x:c>
      <x:c r="L495" s="24" t="str">
        <x:v>旺季</x:v>
      </x:c>
      <x:c r="M495" s="28" t="n">
        <x:v>1.8</x:v>
      </x:c>
      <x:c r="N495" s="26" t="n">
        <x:v>207</x:v>
      </x:c>
      <x:c r="O495" s="26" t="str"/>
      <x:c r="P495" s="24" t="str">
        <x:v>否</x:v>
      </x:c>
      <x:c r="Q495" s="24" t="str">
        <x:v>A區</x:v>
      </x:c>
      <x:c r="R495" s="26" t="n">
        <x:v>23</x:v>
      </x:c>
      <x:c r="S495" s="24" t="str">
        <x:v>中頻、季節性</x:v>
      </x:c>
    </x:row>
    <x:row r="496">
      <x:c r="A496" s="24" t="str">
        <x:v>PX0492</x:v>
      </x:c>
      <x:c r="B496" s="24" t="str">
        <x:v>白米3kg-標準箱</x:v>
      </x:c>
      <x:c r="C496" s="24" t="str">
        <x:v>食品類</x:v>
      </x:c>
      <x:c r="D496" s="24" t="str">
        <x:v>Cluster 5</x:v>
      </x:c>
      <x:c r="E496" s="26" t="n">
        <x:v>13</x:v>
      </x:c>
      <x:c r="F496" s="26" t="n">
        <x:v>8</x:v>
      </x:c>
      <x:c r="G496" s="24" t="str">
        <x:v>中</x:v>
      </x:c>
      <x:c r="H496" s="24" t="str">
        <x:v>重</x:v>
      </x:c>
      <x:c r="I496" s="24" t="str">
        <x:v>否</x:v>
      </x:c>
      <x:c r="J496" s="24" t="str">
        <x:v>否</x:v>
      </x:c>
      <x:c r="K496" s="24" t="str">
        <x:v>否</x:v>
      </x:c>
      <x:c r="L496" s="24" t="str"/>
      <x:c r="M496" s="28" t="n">
        <x:v>1</x:v>
      </x:c>
      <x:c r="N496" s="26" t="n">
        <x:v>49</x:v>
      </x:c>
      <x:c r="O496" s="26" t="n">
        <x:v>48</x:v>
      </x:c>
      <x:c r="P496" s="24" t="str">
        <x:v>是</x:v>
      </x:c>
      <x:c r="Q496" s="24" t="str">
        <x:v>K區</x:v>
      </x:c>
      <x:c r="R496" s="26" t="n">
        <x:v>48</x:v>
      </x:c>
      <x:c r="S496" s="24" t="str">
        <x:v>低頻、重物</x:v>
      </x:c>
    </x:row>
    <x:row r="497">
      <x:c r="A497" s="24" t="str">
        <x:v>PX0493</x:v>
      </x:c>
      <x:c r="B497" s="24" t="str">
        <x:v>貓砂10L-補充包</x:v>
      </x:c>
      <x:c r="C497" s="24" t="str">
        <x:v>寵物用品</x:v>
      </x:c>
      <x:c r="D497" s="24" t="str">
        <x:v>Cluster 2</x:v>
      </x:c>
      <x:c r="E497" s="26" t="n">
        <x:v>80</x:v>
      </x:c>
      <x:c r="F497" s="26" t="n">
        <x:v>40</x:v>
      </x:c>
      <x:c r="G497" s="24" t="str">
        <x:v>大</x:v>
      </x:c>
      <x:c r="H497" s="24" t="str">
        <x:v>重</x:v>
      </x:c>
      <x:c r="I497" s="24" t="str">
        <x:v>否</x:v>
      </x:c>
      <x:c r="J497" s="24" t="str">
        <x:v>否</x:v>
      </x:c>
      <x:c r="K497" s="24" t="str">
        <x:v>否</x:v>
      </x:c>
      <x:c r="L497" s="24" t="str"/>
      <x:c r="M497" s="28" t="n">
        <x:v>1</x:v>
      </x:c>
      <x:c r="N497" s="26" t="n">
        <x:v>189</x:v>
      </x:c>
      <x:c r="O497" s="26" t="n">
        <x:v>24</x:v>
      </x:c>
      <x:c r="P497" s="24" t="str">
        <x:v>是</x:v>
      </x:c>
      <x:c r="Q497" s="24" t="str">
        <x:v>A區</x:v>
      </x:c>
      <x:c r="R497" s="26" t="n">
        <x:v>21</x:v>
      </x:c>
      <x:c r="S497" s="24" t="str">
        <x:v>高頻、體積大、重物</x:v>
      </x:c>
    </x:row>
    <x:row r="498">
      <x:c r="A498" s="24" t="str">
        <x:v>PX0494</x:v>
      </x:c>
      <x:c r="B498" s="24" t="str">
        <x:v>貓砂10L-促銷組</x:v>
      </x:c>
      <x:c r="C498" s="24" t="str">
        <x:v>寵物用品</x:v>
      </x:c>
      <x:c r="D498" s="24" t="str">
        <x:v>Cluster 2</x:v>
      </x:c>
      <x:c r="E498" s="26" t="n">
        <x:v>85</x:v>
      </x:c>
      <x:c r="F498" s="26" t="n">
        <x:v>53</x:v>
      </x:c>
      <x:c r="G498" s="24" t="str">
        <x:v>大</x:v>
      </x:c>
      <x:c r="H498" s="24" t="str">
        <x:v>重</x:v>
      </x:c>
      <x:c r="I498" s="24" t="str">
        <x:v>否</x:v>
      </x:c>
      <x:c r="J498" s="24" t="str">
        <x:v>否</x:v>
      </x:c>
      <x:c r="K498" s="24" t="str">
        <x:v>否</x:v>
      </x:c>
      <x:c r="L498" s="24" t="str"/>
      <x:c r="M498" s="28" t="n">
        <x:v>1</x:v>
      </x:c>
      <x:c r="N498" s="26" t="n">
        <x:v>303</x:v>
      </x:c>
      <x:c r="O498" s="26" t="n">
        <x:v>18</x:v>
      </x:c>
      <x:c r="P498" s="24" t="str">
        <x:v>是</x:v>
      </x:c>
      <x:c r="Q498" s="24" t="str">
        <x:v>1區</x:v>
      </x:c>
      <x:c r="R498" s="26" t="n">
        <x:v>35</x:v>
      </x:c>
      <x:c r="S498" s="24" t="str">
        <x:v>高頻、體積大、重物</x:v>
      </x:c>
    </x:row>
    <x:row r="499">
      <x:c r="A499" s="24" t="str">
        <x:v>PX0495</x:v>
      </x:c>
      <x:c r="B499" s="24" t="str">
        <x:v>咖啡罐裝整箱-小包裝</x:v>
      </x:c>
      <x:c r="C499" s="24" t="str">
        <x:v>飲品類</x:v>
      </x:c>
      <x:c r="D499" s="24" t="str">
        <x:v>Cluster 1</x:v>
      </x:c>
      <x:c r="E499" s="26" t="n">
        <x:v>65</x:v>
      </x:c>
      <x:c r="F499" s="26" t="n">
        <x:v>42</x:v>
      </x:c>
      <x:c r="G499" s="24" t="str">
        <x:v>中</x:v>
      </x:c>
      <x:c r="H499" s="24" t="str">
        <x:v>中</x:v>
      </x:c>
      <x:c r="I499" s="24" t="str">
        <x:v>是</x:v>
      </x:c>
      <x:c r="J499" s="24" t="str">
        <x:v>否</x:v>
      </x:c>
      <x:c r="K499" s="24" t="str">
        <x:v>否</x:v>
      </x:c>
      <x:c r="L499" s="24" t="str"/>
      <x:c r="M499" s="28" t="n">
        <x:v>1</x:v>
      </x:c>
      <x:c r="N499" s="26" t="n">
        <x:v>189</x:v>
      </x:c>
      <x:c r="O499" s="26" t="n">
        <x:v>72</x:v>
      </x:c>
      <x:c r="P499" s="24" t="str">
        <x:v>是</x:v>
      </x:c>
      <x:c r="Q499" s="24" t="str">
        <x:v>1區</x:v>
      </x:c>
      <x:c r="R499" s="26" t="n">
        <x:v>40</x:v>
      </x:c>
      <x:c r="S499" s="24" t="str">
        <x:v>中頻、液體</x:v>
      </x:c>
    </x:row>
    <x:row r="500">
      <x:c r="A500" s="24" t="str">
        <x:v>PX0496</x:v>
      </x:c>
      <x:c r="B500" s="24" t="str">
        <x:v>洗碗精-箱裝</x:v>
      </x:c>
      <x:c r="C500" s="24" t="str">
        <x:v>清潔用品</x:v>
      </x:c>
      <x:c r="D500" s="24" t="str">
        <x:v>Cluster 1</x:v>
      </x:c>
      <x:c r="E500" s="26" t="n">
        <x:v>16</x:v>
      </x:c>
      <x:c r="F500" s="26" t="n">
        <x:v>10</x:v>
      </x:c>
      <x:c r="G500" s="24" t="str">
        <x:v>中</x:v>
      </x:c>
      <x:c r="H500" s="24" t="str">
        <x:v>中</x:v>
      </x:c>
      <x:c r="I500" s="24" t="str">
        <x:v>是</x:v>
      </x:c>
      <x:c r="J500" s="24" t="str">
        <x:v>否</x:v>
      </x:c>
      <x:c r="K500" s="24" t="str">
        <x:v>否</x:v>
      </x:c>
      <x:c r="L500" s="24" t="str"/>
      <x:c r="M500" s="28" t="n">
        <x:v>1</x:v>
      </x:c>
      <x:c r="N500" s="26" t="n">
        <x:v>46</x:v>
      </x:c>
      <x:c r="O500" s="26" t="n">
        <x:v>48</x:v>
      </x:c>
      <x:c r="P500" s="24" t="str">
        <x:v>是</x:v>
      </x:c>
      <x:c r="Q500" s="24" t="str">
        <x:v>3區</x:v>
      </x:c>
      <x:c r="R500" s="26" t="n">
        <x:v>30</x:v>
      </x:c>
      <x:c r="S500" s="24" t="str">
        <x:v>低頻、液體</x:v>
      </x:c>
    </x:row>
    <x:row r="501">
      <x:c r="A501" s="24" t="str">
        <x:v>PX0497</x:v>
      </x:c>
      <x:c r="B501" s="24" t="str">
        <x:v>碳酸飲料整箱-標準箱</x:v>
      </x:c>
      <x:c r="C501" s="24" t="str">
        <x:v>飲品類</x:v>
      </x:c>
      <x:c r="D501" s="24" t="str">
        <x:v>Cluster 2</x:v>
      </x:c>
      <x:c r="E501" s="26" t="n">
        <x:v>69</x:v>
      </x:c>
      <x:c r="F501" s="26" t="n">
        <x:v>35</x:v>
      </x:c>
      <x:c r="G501" s="24" t="str">
        <x:v>中</x:v>
      </x:c>
      <x:c r="H501" s="24" t="str">
        <x:v>重</x:v>
      </x:c>
      <x:c r="I501" s="24" t="str">
        <x:v>是</x:v>
      </x:c>
      <x:c r="J501" s="24" t="str">
        <x:v>否</x:v>
      </x:c>
      <x:c r="K501" s="24" t="str">
        <x:v>否</x:v>
      </x:c>
      <x:c r="L501" s="24" t="str"/>
      <x:c r="M501" s="28" t="n">
        <x:v>1.2</x:v>
      </x:c>
      <x:c r="N501" s="26" t="n">
        <x:v>167</x:v>
      </x:c>
      <x:c r="O501" s="26" t="n">
        <x:v>48</x:v>
      </x:c>
      <x:c r="P501" s="24" t="str">
        <x:v>是</x:v>
      </x:c>
      <x:c r="Q501" s="24" t="str">
        <x:v>彈性區</x:v>
      </x:c>
      <x:c r="R501" s="26" t="n">
        <x:v>49</x:v>
      </x:c>
      <x:c r="S501" s="24" t="str">
        <x:v>中頻、重物、液體</x:v>
      </x:c>
    </x:row>
    <x:row r="502">
      <x:c r="A502" s="24" t="str">
        <x:v>PX0498</x:v>
      </x:c>
      <x:c r="B502" s="24" t="str">
        <x:v>包裝膠帶-家庭號</x:v>
      </x:c>
      <x:c r="C502" s="24" t="str">
        <x:v>耗材類</x:v>
      </x:c>
      <x:c r="D502" s="24" t="str">
        <x:v>Cluster 5</x:v>
      </x:c>
      <x:c r="E502" s="26" t="n">
        <x:v>37</x:v>
      </x:c>
      <x:c r="F502" s="26" t="n">
        <x:v>20</x:v>
      </x:c>
      <x:c r="G502" s="24" t="str">
        <x:v>小</x:v>
      </x:c>
      <x:c r="H502" s="24" t="str">
        <x:v>輕</x:v>
      </x:c>
      <x:c r="I502" s="24" t="str">
        <x:v>否</x:v>
      </x:c>
      <x:c r="J502" s="24" t="str">
        <x:v>否</x:v>
      </x:c>
      <x:c r="K502" s="24" t="str">
        <x:v>否</x:v>
      </x:c>
      <x:c r="L502" s="24" t="str"/>
      <x:c r="M502" s="28" t="n">
        <x:v>1</x:v>
      </x:c>
      <x:c r="N502" s="26" t="n">
        <x:v>177</x:v>
      </x:c>
      <x:c r="O502" s="26" t="str"/>
      <x:c r="P502" s="24" t="str">
        <x:v>否</x:v>
      </x:c>
      <x:c r="Q502" s="24" t="str">
        <x:v>K區</x:v>
      </x:c>
      <x:c r="R502" s="26" t="n">
        <x:v>55</x:v>
      </x:c>
      <x:c r="S502" s="24" t="str">
        <x:v>中頻</x:v>
      </x:c>
    </x:row>
    <x:row r="503">
      <x:c r="A503" s="24" t="str">
        <x:v>PX0499</x:v>
      </x:c>
      <x:c r="B503" s="24" t="str">
        <x:v>餐巾紙箱-箱裝</x:v>
      </x:c>
      <x:c r="C503" s="24" t="str">
        <x:v>紙品類</x:v>
      </x:c>
      <x:c r="D503" s="24" t="str">
        <x:v>Cluster 5</x:v>
      </x:c>
      <x:c r="E503" s="26" t="n">
        <x:v>46</x:v>
      </x:c>
      <x:c r="F503" s="26" t="n">
        <x:v>26</x:v>
      </x:c>
      <x:c r="G503" s="24" t="str">
        <x:v>中</x:v>
      </x:c>
      <x:c r="H503" s="24" t="str">
        <x:v>中</x:v>
      </x:c>
      <x:c r="I503" s="24" t="str">
        <x:v>否</x:v>
      </x:c>
      <x:c r="J503" s="24" t="str">
        <x:v>否</x:v>
      </x:c>
      <x:c r="K503" s="24" t="str">
        <x:v>否</x:v>
      </x:c>
      <x:c r="L503" s="24" t="str"/>
      <x:c r="M503" s="28" t="n">
        <x:v>1</x:v>
      </x:c>
      <x:c r="N503" s="26" t="n">
        <x:v>121</x:v>
      </x:c>
      <x:c r="O503" s="26" t="str"/>
      <x:c r="P503" s="24" t="str">
        <x:v>否</x:v>
      </x:c>
      <x:c r="Q503" s="24" t="str">
        <x:v>彈性區</x:v>
      </x:c>
      <x:c r="R503" s="26" t="n">
        <x:v>48</x:v>
      </x:c>
      <x:c r="S503" s="24" t="str">
        <x:v>中頻</x:v>
      </x:c>
    </x:row>
    <x:row r="504">
      <x:c r="A504" s="24" t="str">
        <x:v>PX0500</x:v>
      </x:c>
      <x:c r="B504" s="24" t="str">
        <x:v>浴廁清潔劑-促銷組</x:v>
      </x:c>
      <x:c r="C504" s="24" t="str">
        <x:v>清潔用品</x:v>
      </x:c>
      <x:c r="D504" s="24" t="str">
        <x:v>Cluster 1</x:v>
      </x:c>
      <x:c r="E504" s="26" t="n">
        <x:v>65</x:v>
      </x:c>
      <x:c r="F504" s="26" t="n">
        <x:v>40</x:v>
      </x:c>
      <x:c r="G504" s="24" t="str">
        <x:v>中</x:v>
      </x:c>
      <x:c r="H504" s="24" t="str">
        <x:v>中</x:v>
      </x:c>
      <x:c r="I504" s="24" t="str">
        <x:v>是</x:v>
      </x:c>
      <x:c r="J504" s="24" t="str">
        <x:v>否</x:v>
      </x:c>
      <x:c r="K504" s="24" t="str">
        <x:v>否</x:v>
      </x:c>
      <x:c r="L504" s="24" t="str"/>
      <x:c r="M504" s="28" t="n">
        <x:v>1</x:v>
      </x:c>
      <x:c r="N504" s="26" t="n">
        <x:v>153</x:v>
      </x:c>
      <x:c r="O504" s="26" t="n">
        <x:v>72</x:v>
      </x:c>
      <x:c r="P504" s="24" t="str">
        <x:v>是</x:v>
      </x:c>
      <x:c r="Q504" s="24" t="str">
        <x:v>A區</x:v>
      </x:c>
      <x:c r="R504" s="26" t="n">
        <x:v>31</x:v>
      </x:c>
      <x:c r="S504" s="24" t="str">
        <x:v>中頻、液體</x:v>
      </x:c>
    </x:row>
  </x:sheetData>
  <x:mergeCells>
    <x:mergeCell ref="A1:S1"/>
    <x:mergeCell ref="A2:S2"/>
  </x:mergeCells>
  <x:conditionalFormatting sqref="P5:P504">
    <x:cfRule type="expression" dxfId="0" priority="1">
      <x:formula>$P5="是"</x:formula>
    </x:cfRule>
    <x:cfRule type="expression" dxfId="1" priority="2">
      <x:formula>$P5="否"</x:formula>
    </x:cfRule>
  </x:conditionalFormatting>
  <x:conditionalFormatting sqref="K5:K504">
    <x:cfRule type="expression" dxfId="2" priority="3">
      <x:formula>$K5="是"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2f006f078b54af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2" hidden="0" customWidth="1"/>
    <x:col min="4" max="4" width="12" hidden="0" customWidth="1"/>
    <x:col min="5" max="5" width="10" hidden="0" customWidth="1"/>
    <x:col min="6" max="6" width="12" hidden="0" customWidth="1"/>
    <x:col min="7" max="7" width="10" hidden="0" customWidth="1"/>
    <x:col min="8" max="8" width="12" hidden="0" customWidth="1"/>
    <x:col min="9" max="9" width="13" hidden="0" customWidth="1"/>
    <x:col min="10" max="10" width="13" hidden="0" customWidth="1"/>
    <x:col min="11" max="11" width="12" hidden="0" customWidth="1"/>
    <x:col min="12" max="12" width="13" hidden="0" customWidth="1"/>
    <x:col min="13" max="13" width="12" hidden="0" customWidth="1"/>
    <x:col min="14" max="14" width="10" hidden="0" customWidth="1"/>
    <x:col min="15" max="15" width="12" hidden="0" customWidth="1"/>
    <x:col min="16" max="16" width="16" hidden="0" customWidth="1"/>
    <x:col min="17" max="17" width="18" hidden="0" customWidth="1"/>
    <x:col min="18" max="18" width="12" hidden="0" customWidth="1"/>
    <x:col min="19" max="19" width="28" hidden="0" customWidth="1"/>
    <x:col min="21" max="21" width="20" hidden="0" customWidth="1"/>
    <x:col min="22" max="22" width="18" hidden="0" customWidth="1"/>
  </x:cols>
  <x:sheetData>
    <x:row r="1">
      <x:c r="A1" s="32" t="str">
        <x:v>棧板對照表：單一 SKU 棧板需求 × 季節前移建議</x:v>
      </x:c>
      <x:c r="U1" s="44" t="str">
        <x:v>棧板管理摘要</x:v>
      </x:c>
    </x:row>
    <x:row r="2">
      <x:c r="A2" s="38" t="str">
        <x:v>本表聚焦單一 SKU 棧板需求：只有「是否棧板管理=是」才計算目前棧板數、預測棧板數與棧板增減；非棧板管理商品標示為「非本次棧板優化對象」。混合棧板將於下一階段再處理。</x:v>
      </x:c>
      <x:c r="U2" s="52" t="str">
        <x:v>指標</x:v>
      </x:c>
      <x:c r="V2" s="52" t="str">
        <x:v>公式/結果</x:v>
      </x:c>
      <x:c r="X2" s="52" t="str">
        <x:v>項目</x:v>
      </x:c>
      <x:c r="Y2" s="52" t="str">
        <x:v>棧板數</x:v>
      </x:c>
    </x:row>
    <x:row r="3">
      <x:c r="U3" s="24" t="str">
        <x:v>總SKU數</x:v>
      </x:c>
      <x:c r="V3" s="26" t="n">
        <x:f>COUNTA(A5:A504)</x:f>
        <x:v>500</x:v>
      </x:c>
      <x:c r="X3" t="str">
        <x:v>目前總棧板數</x:v>
      </x:c>
      <x:c r="Y3" t="n">
        <x:f>SUM(K5:K504)</x:f>
        <x:v>2915</x:v>
      </x:c>
    </x:row>
    <x:row r="4">
      <x:c r="A4" s="18" t="str">
        <x:v>SKU編號</x:v>
      </x:c>
      <x:c r="B4" s="18" t="str">
        <x:v>商品名稱</x:v>
      </x:c>
      <x:c r="C4" s="18" t="str">
        <x:v>KMeans群組</x:v>
      </x:c>
      <x:c r="D4" s="18" t="str">
        <x:v>每日揀貨次數</x:v>
      </x:c>
      <x:c r="E4" s="18" t="str">
        <x:v>是否季節性</x:v>
      </x:c>
      <x:c r="F4" s="18" t="str">
        <x:v>季節月份</x:v>
      </x:c>
      <x:c r="G4" s="18" t="str">
        <x:v>季節係數</x:v>
      </x:c>
      <x:c r="H4" s="18" t="str">
        <x:v>是否棧板管理</x:v>
      </x:c>
      <x:c r="I4" s="18" t="str">
        <x:v>目前庫存箱數</x:v>
      </x:c>
      <x:c r="J4" s="18" t="str">
        <x:v>每棧板可放箱數</x:v>
      </x:c>
      <x:c r="K4" s="18" t="str">
        <x:v>目前棧板數</x:v>
      </x:c>
      <x:c r="L4" s="18" t="str">
        <x:v>預測需求箱數</x:v>
      </x:c>
      <x:c r="M4" s="18" t="str">
        <x:v>預測棧板數</x:v>
      </x:c>
      <x:c r="N4" s="18" t="str">
        <x:v>棧板增減</x:v>
      </x:c>
      <x:c r="O4" s="18" t="str">
        <x:v>目前儲位區</x:v>
      </x:c>
      <x:c r="P4" s="18" t="str">
        <x:v>目前距離主要作業區m</x:v>
      </x:c>
      <x:c r="Q4" s="18" t="str">
        <x:v>建議儲位區</x:v>
      </x:c>
      <x:c r="R4" s="18" t="str">
        <x:v>是否季節前移</x:v>
      </x:c>
      <x:c r="S4" s="18" t="str">
        <x:v>儲位建議</x:v>
      </x:c>
      <x:c r="U4" s="24" t="str">
        <x:v>棧板管理SKU數</x:v>
      </x:c>
      <x:c r="V4" s="26" t="n">
        <x:f>COUNTIF(H5:H504,"是")</x:f>
        <x:v>393</x:v>
      </x:c>
      <x:c r="X4" t="str">
        <x:v>預測總棧板數</x:v>
      </x:c>
      <x:c r="Y4" t="n">
        <x:f>SUM(M5:M504)</x:f>
        <x:v>3545</x:v>
      </x:c>
    </x:row>
    <x:row r="5">
      <x:c r="A5" s="24" t="str">
        <x:f>'500件商品'!A5</x:f>
        <x:v>PX0001</x:v>
      </x:c>
      <x:c r="B5" s="24" t="str">
        <x:f>'500件商品'!B5</x:f>
        <x:v>抽取式衛生紙</x:v>
      </x:c>
      <x:c r="C5" s="24" t="str">
        <x:f>'500件商品'!D5</x:f>
        <x:v>Cluster 2</x:v>
      </x:c>
      <x:c r="D5" s="26" t="n">
        <x:f>'500件商品'!F5</x:f>
        <x:v>120</x:v>
      </x:c>
      <x:c r="E5" s="24" t="str">
        <x:f>'500件商品'!K5</x:f>
        <x:v>否</x:v>
      </x:c>
      <x:c r="F5" s="24" t="str">
        <x:f>'500件商品'!L5</x:f>
      </x:c>
      <x:c r="G5" s="28" t="n">
        <x:f>'500件商品'!M5</x:f>
        <x:v>1</x:v>
      </x:c>
      <x:c r="H5" s="24" t="str">
        <x:f>'500件商品'!P5</x:f>
        <x:v>是</x:v>
      </x:c>
      <x:c r="I5" s="26" t="n">
        <x:f>'500件商品'!N5</x:f>
        <x:v>811</x:v>
      </x:c>
      <x:c r="J5" s="26" t="n">
        <x:f>'500件商品'!O5</x:f>
        <x:v>30</x:v>
      </x:c>
      <x:c r="K5" s="26" t="n">
        <x:f>IF(H5="是",CEILING(I5/J5,1),0)</x:f>
        <x:v>28</x:v>
      </x:c>
      <x:c r="L5" s="26" t="n">
        <x:f>ROUND(I5*G5,0)</x:f>
        <x:v>811</x:v>
      </x:c>
      <x:c r="M5" s="26" t="n">
        <x:f>IF(H5="是",CEILING(L5/J5,1),0)</x:f>
        <x:v>28</x:v>
      </x:c>
      <x:c r="N5" s="26" t="n">
        <x:f>M5-K5</x:f>
        <x:v>0</x:v>
      </x:c>
      <x:c r="O5" s="24" t="str">
        <x:f>'500件商品'!Q5</x:f>
        <x:v>A區</x:v>
      </x:c>
      <x:c r="P5" s="26" t="n">
        <x:f>'500件商品'!R5</x:f>
        <x:v>60</x:v>
      </x:c>
      <x:c r="Q5" s="24" t="str">
        <x:f>IF(H5="否","非棧板管理",IF(AND(E5="是",N5&gt;0),"季節彈性前移區",IF(OR(C5="Cluster 3",D5&gt;=55),"近端低層棧板區",IF(C5="Cluster 2","中段大貨位",IF(C5="Cluster 4","遠端彈性儲位","中段棧板區")))))</x:f>
        <x:v>近端低層棧板區</x:v>
      </x:c>
      <x:c r="R5" s="24" t="str">
        <x:f>IF(AND(H5="是",E5="是",N5&gt;0),"是","否")</x:f>
        <x:v>否</x:v>
      </x:c>
      <x:c r="S5" s="24" t="str">
        <x:f>IF(H5="否","非本次棧板儲位分析對象",IF(R5="是","旺季前需前移並增加棧板位",IF(N5&gt;0,"需增加棧板位",IF(N5&lt;0,"可釋放部分棧板位","維持現況"))))</x:f>
        <x:v>維持現況</x:v>
      </x:c>
      <x:c r="U5" s="24" t="str">
        <x:v>非棧板管理SKU數</x:v>
      </x:c>
      <x:c r="V5" s="26" t="n">
        <x:f>COUNTIF(H5:H504,"否")</x:f>
        <x:v>107</x:v>
      </x:c>
    </x:row>
    <x:row r="6">
      <x:c r="A6" s="24" t="str">
        <x:f>'500件商品'!A6</x:f>
        <x:v>PX0002</x:v>
      </x:c>
      <x:c r="B6" s="24" t="str">
        <x:f>'500件商品'!B6</x:f>
        <x:v>瓶裝水600ml</x:v>
      </x:c>
      <x:c r="C6" s="24" t="str">
        <x:f>'500件商品'!D6</x:f>
        <x:v>Cluster 3</x:v>
      </x:c>
      <x:c r="D6" s="26" t="n">
        <x:f>'500件商品'!F6</x:f>
        <x:v>115</x:v>
      </x:c>
      <x:c r="E6" s="24" t="str">
        <x:f>'500件商品'!K6</x:f>
        <x:v>否</x:v>
      </x:c>
      <x:c r="F6" s="24" t="str">
        <x:f>'500件商品'!L6</x:f>
      </x:c>
      <x:c r="G6" s="28" t="n">
        <x:f>'500件商品'!M6</x:f>
        <x:v>1.5</x:v>
      </x:c>
      <x:c r="H6" s="24" t="str">
        <x:f>'500件商品'!P6</x:f>
        <x:v>是</x:v>
      </x:c>
      <x:c r="I6" s="26" t="n">
        <x:f>'500件商品'!N6</x:f>
        <x:v>619</x:v>
      </x:c>
      <x:c r="J6" s="26" t="n">
        <x:f>'500件商品'!O6</x:f>
        <x:v>40</x:v>
      </x:c>
      <x:c r="K6" s="26" t="n">
        <x:f>IF(H6="是",CEILING(I6/J6,1),0)</x:f>
        <x:v>16</x:v>
      </x:c>
      <x:c r="L6" s="26" t="n">
        <x:f>ROUND(I6*G6,0)</x:f>
        <x:v>929</x:v>
      </x:c>
      <x:c r="M6" s="26" t="n">
        <x:f>IF(H6="是",CEILING(L6/J6,1),0)</x:f>
        <x:v>24</x:v>
      </x:c>
      <x:c r="N6" s="26" t="n">
        <x:f>M6-K6</x:f>
        <x:v>8</x:v>
      </x:c>
      <x:c r="O6" s="24" t="str">
        <x:f>'500件商品'!Q6</x:f>
        <x:v>K區</x:v>
      </x:c>
      <x:c r="P6" s="26" t="n">
        <x:f>'500件商品'!R6</x:f>
        <x:v>55</x:v>
      </x:c>
      <x:c r="Q6" s="24" t="str">
        <x:f>IF(H6="否","非棧板管理",IF(AND(E6="是",N6&gt;0),"季節彈性前移區",IF(OR(C6="Cluster 3",D6&gt;=55),"近端低層棧板區",IF(C6="Cluster 2","中段大貨位",IF(C6="Cluster 4","遠端彈性儲位","中段棧板區")))))</x:f>
        <x:v>近端低層棧板區</x:v>
      </x:c>
      <x:c r="R6" s="24" t="str">
        <x:f>IF(AND(H6="是",E6="是",N6&gt;0),"是","否")</x:f>
        <x:v>否</x:v>
      </x:c>
      <x:c r="S6" s="24" t="str">
        <x:f>IF(H6="否","非本次棧板儲位分析對象",IF(R6="是","旺季前需前移並增加棧板位",IF(N6&gt;0,"需增加棧板位",IF(N6&lt;0,"可釋放部分棧板位","維持現況"))))</x:f>
        <x:v>需增加棧板位</x:v>
      </x:c>
      <x:c r="U6" s="24" t="str">
        <x:v>目前總棧板數</x:v>
      </x:c>
      <x:c r="V6" s="26" t="n">
        <x:f>SUM(K5:K504)</x:f>
        <x:v>2915</x:v>
      </x:c>
    </x:row>
    <x:row r="7">
      <x:c r="A7" s="24" t="str">
        <x:f>'500件商品'!A7</x:f>
        <x:v>PX0003</x:v>
      </x:c>
      <x:c r="B7" s="24" t="str">
        <x:f>'500件商品'!B7</x:f>
        <x:v>家庭號礦泉水</x:v>
      </x:c>
      <x:c r="C7" s="24" t="str">
        <x:f>'500件商品'!D7</x:f>
        <x:v>Cluster 3</x:v>
      </x:c>
      <x:c r="D7" s="26" t="n">
        <x:f>'500件商品'!F7</x:f>
        <x:v>100</x:v>
      </x:c>
      <x:c r="E7" s="24" t="str">
        <x:f>'500件商品'!K7</x:f>
        <x:v>否</x:v>
      </x:c>
      <x:c r="F7" s="24" t="str">
        <x:f>'500件商品'!L7</x:f>
      </x:c>
      <x:c r="G7" s="28" t="n">
        <x:f>'500件商品'!M7</x:f>
        <x:v>1.3</x:v>
      </x:c>
      <x:c r="H7" s="24" t="str">
        <x:f>'500件商品'!P7</x:f>
        <x:v>是</x:v>
      </x:c>
      <x:c r="I7" s="26" t="n">
        <x:f>'500件商品'!N7</x:f>
        <x:v>547</x:v>
      </x:c>
      <x:c r="J7" s="26" t="n">
        <x:f>'500件商品'!O7</x:f>
        <x:v>20</x:v>
      </x:c>
      <x:c r="K7" s="26" t="n">
        <x:f>IF(H7="是",CEILING(I7/J7,1),0)</x:f>
        <x:v>28</x:v>
      </x:c>
      <x:c r="L7" s="26" t="n">
        <x:f>ROUND(I7*G7,0)</x:f>
        <x:v>711</x:v>
      </x:c>
      <x:c r="M7" s="26" t="n">
        <x:f>IF(H7="是",CEILING(L7/J7,1),0)</x:f>
        <x:v>36</x:v>
      </x:c>
      <x:c r="N7" s="26" t="n">
        <x:f>M7-K7</x:f>
        <x:v>8</x:v>
      </x:c>
      <x:c r="O7" s="24" t="str">
        <x:f>'500件商品'!Q7</x:f>
        <x:v>K區</x:v>
      </x:c>
      <x:c r="P7" s="26" t="n">
        <x:f>'500件商品'!R7</x:f>
        <x:v>50</x:v>
      </x:c>
      <x:c r="Q7" s="24" t="str">
        <x:f>IF(H7="否","非棧板管理",IF(AND(E7="是",N7&gt;0),"季節彈性前移區",IF(OR(C7="Cluster 3",D7&gt;=55),"近端低層棧板區",IF(C7="Cluster 2","中段大貨位",IF(C7="Cluster 4","遠端彈性儲位","中段棧板區")))))</x:f>
        <x:v>近端低層棧板區</x:v>
      </x:c>
      <x:c r="R7" s="24" t="str">
        <x:f>IF(AND(H7="是",E7="是",N7&gt;0),"是","否")</x:f>
        <x:v>否</x:v>
      </x:c>
      <x:c r="S7" s="24" t="str">
        <x:f>IF(H7="否","非本次棧板儲位分析對象",IF(R7="是","旺季前需前移並增加棧板位",IF(N7&gt;0,"需增加棧板位",IF(N7&lt;0,"可釋放部分棧板位","維持現況"))))</x:f>
        <x:v>需增加棧板位</x:v>
      </x:c>
      <x:c r="U7" s="24" t="str">
        <x:v>預測總棧板數</x:v>
      </x:c>
      <x:c r="V7" s="26" t="n">
        <x:f>SUM(M5:M504)</x:f>
        <x:v>3545</x:v>
      </x:c>
    </x:row>
    <x:row r="8">
      <x:c r="A8" s="24" t="str">
        <x:f>'500件商品'!A8</x:f>
        <x:v>PX0004</x:v>
      </x:c>
      <x:c r="B8" s="24" t="str">
        <x:f>'500件商品'!B8</x:f>
        <x:v>捲筒衛生紙</x:v>
      </x:c>
      <x:c r="C8" s="24" t="str">
        <x:f>'500件商品'!D8</x:f>
        <x:v>Cluster 2</x:v>
      </x:c>
      <x:c r="D8" s="26" t="n">
        <x:f>'500件商品'!F8</x:f>
        <x:v>92</x:v>
      </x:c>
      <x:c r="E8" s="24" t="str">
        <x:f>'500件商品'!K8</x:f>
        <x:v>否</x:v>
      </x:c>
      <x:c r="F8" s="24" t="str">
        <x:f>'500件商品'!L8</x:f>
      </x:c>
      <x:c r="G8" s="28" t="n">
        <x:f>'500件商品'!M8</x:f>
        <x:v>1</x:v>
      </x:c>
      <x:c r="H8" s="24" t="str">
        <x:f>'500件商品'!P8</x:f>
        <x:v>是</x:v>
      </x:c>
      <x:c r="I8" s="26" t="n">
        <x:f>'500件商品'!N8</x:f>
        <x:v>774</x:v>
      </x:c>
      <x:c r="J8" s="26" t="n">
        <x:f>'500件商品'!O8</x:f>
        <x:v>18</x:v>
      </x:c>
      <x:c r="K8" s="26" t="n">
        <x:f>IF(H8="是",CEILING(I8/J8,1),0)</x:f>
        <x:v>43</x:v>
      </x:c>
      <x:c r="L8" s="26" t="n">
        <x:f>ROUND(I8*G8,0)</x:f>
        <x:v>774</x:v>
      </x:c>
      <x:c r="M8" s="26" t="n">
        <x:f>IF(H8="是",CEILING(L8/J8,1),0)</x:f>
        <x:v>43</x:v>
      </x:c>
      <x:c r="N8" s="26" t="n">
        <x:f>M8-K8</x:f>
        <x:v>0</x:v>
      </x:c>
      <x:c r="O8" s="24" t="str">
        <x:f>'500件商品'!Q8</x:f>
        <x:v>1區</x:v>
      </x:c>
      <x:c r="P8" s="26" t="n">
        <x:f>'500件商品'!R8</x:f>
        <x:v>45</x:v>
      </x:c>
      <x:c r="Q8" s="24" t="str">
        <x:f>IF(H8="否","非棧板管理",IF(AND(E8="是",N8&gt;0),"季節彈性前移區",IF(OR(C8="Cluster 3",D8&gt;=55),"近端低層棧板區",IF(C8="Cluster 2","中段大貨位",IF(C8="Cluster 4","遠端彈性儲位","中段棧板區")))))</x:f>
        <x:v>近端低層棧板區</x:v>
      </x:c>
      <x:c r="R8" s="24" t="str">
        <x:f>IF(AND(H8="是",E8="是",N8&gt;0),"是","否")</x:f>
        <x:v>否</x:v>
      </x:c>
      <x:c r="S8" s="24" t="str">
        <x:f>IF(H8="否","非本次棧板儲位分析對象",IF(R8="是","旺季前需前移並增加棧板位",IF(N8&gt;0,"需增加棧板位",IF(N8&lt;0,"可釋放部分棧板位","維持現況"))))</x:f>
        <x:v>維持現況</x:v>
      </x:c>
      <x:c r="U8" s="24" t="str">
        <x:v>預測需增加棧板數</x:v>
      </x:c>
      <x:c r="V8" s="26" t="n">
        <x:f>SUMIF(N5:N504,"&gt;0",N5:N504)</x:f>
        <x:v>630</x:v>
      </x:c>
    </x:row>
    <x:row r="9">
      <x:c r="A9" s="24" t="str">
        <x:f>'500件商品'!A9</x:f>
        <x:v>PX0005</x:v>
      </x:c>
      <x:c r="B9" s="24" t="str">
        <x:f>'500件商品'!B9</x:f>
        <x:v>茶飲料整箱</x:v>
      </x:c>
      <x:c r="C9" s="24" t="str">
        <x:f>'500件商品'!D9</x:f>
        <x:v>Cluster 3</x:v>
      </x:c>
      <x:c r="D9" s="26" t="n">
        <x:f>'500件商品'!F9</x:f>
        <x:v>86</x:v>
      </x:c>
      <x:c r="E9" s="24" t="str">
        <x:f>'500件商品'!K9</x:f>
        <x:v>否</x:v>
      </x:c>
      <x:c r="F9" s="24" t="str">
        <x:f>'500件商品'!L9</x:f>
      </x:c>
      <x:c r="G9" s="28" t="n">
        <x:f>'500件商品'!M9</x:f>
        <x:v>1.3</x:v>
      </x:c>
      <x:c r="H9" s="24" t="str">
        <x:f>'500件商品'!P9</x:f>
        <x:v>是</x:v>
      </x:c>
      <x:c r="I9" s="26" t="n">
        <x:f>'500件商品'!N9</x:f>
        <x:v>409</x:v>
      </x:c>
      <x:c r="J9" s="26" t="n">
        <x:f>'500件商品'!O9</x:f>
        <x:v>48</x:v>
      </x:c>
      <x:c r="K9" s="26" t="n">
        <x:f>IF(H9="是",CEILING(I9/J9,1),0)</x:f>
        <x:v>9</x:v>
      </x:c>
      <x:c r="L9" s="26" t="n">
        <x:f>ROUND(I9*G9,0)</x:f>
        <x:v>532</x:v>
      </x:c>
      <x:c r="M9" s="26" t="n">
        <x:f>IF(H9="是",CEILING(L9/J9,1),0)</x:f>
        <x:v>12</x:v>
      </x:c>
      <x:c r="N9" s="26" t="n">
        <x:f>M9-K9</x:f>
        <x:v>3</x:v>
      </x:c>
      <x:c r="O9" s="24" t="str">
        <x:f>'500件商品'!Q9</x:f>
        <x:v>1區</x:v>
      </x:c>
      <x:c r="P9" s="26" t="n">
        <x:f>'500件商品'!R9</x:f>
        <x:v>42</x:v>
      </x:c>
      <x:c r="Q9" s="24" t="str">
        <x:f>IF(H9="否","非棧板管理",IF(AND(E9="是",N9&gt;0),"季節彈性前移區",IF(OR(C9="Cluster 3",D9&gt;=55),"近端低層棧板區",IF(C9="Cluster 2","中段大貨位",IF(C9="Cluster 4","遠端彈性儲位","中段棧板區")))))</x:f>
        <x:v>近端低層棧板區</x:v>
      </x:c>
      <x:c r="R9" s="24" t="str">
        <x:f>IF(AND(H9="是",E9="是",N9&gt;0),"是","否")</x:f>
        <x:v>否</x:v>
      </x:c>
      <x:c r="S9" s="24" t="str">
        <x:f>IF(H9="否","非本次棧板儲位分析對象",IF(R9="是","旺季前需前移並增加棧板位",IF(N9&gt;0,"需增加棧板位",IF(N9&lt;0,"可釋放部分棧板位","維持現況"))))</x:f>
        <x:v>需增加棧板位</x:v>
      </x:c>
      <x:c r="U9" s="24" t="str">
        <x:v>季節前移SKU數</x:v>
      </x:c>
      <x:c r="V9" s="26" t="n">
        <x:f>COUNTIF(R5:R504,"是")</x:f>
        <x:v>49</x:v>
      </x:c>
    </x:row>
    <x:row r="10">
      <x:c r="A10" s="24" t="str">
        <x:f>'500件商品'!A10</x:f>
        <x:v>PX0006</x:v>
      </x:c>
      <x:c r="B10" s="24" t="str">
        <x:f>'500件商品'!B10</x:f>
        <x:v>泡麵箱</x:v>
      </x:c>
      <x:c r="C10" s="24" t="str">
        <x:f>'500件商品'!D10</x:f>
        <x:v>Cluster 5</x:v>
      </x:c>
      <x:c r="D10" s="26" t="n">
        <x:f>'500件商品'!F10</x:f>
        <x:v>78</x:v>
      </x:c>
      <x:c r="E10" s="24" t="str">
        <x:f>'500件商品'!K10</x:f>
        <x:v>否</x:v>
      </x:c>
      <x:c r="F10" s="24" t="str">
        <x:f>'500件商品'!L10</x:f>
      </x:c>
      <x:c r="G10" s="28" t="n">
        <x:f>'500件商品'!M10</x:f>
        <x:v>1</x:v>
      </x:c>
      <x:c r="H10" s="24" t="str">
        <x:f>'500件商品'!P10</x:f>
        <x:v>是</x:v>
      </x:c>
      <x:c r="I10" s="26" t="n">
        <x:f>'500件商品'!N10</x:f>
        <x:v>488</x:v>
      </x:c>
      <x:c r="J10" s="26" t="n">
        <x:f>'500件商品'!O10</x:f>
        <x:v>72</x:v>
      </x:c>
      <x:c r="K10" s="26" t="n">
        <x:f>IF(H10="是",CEILING(I10/J10,1),0)</x:f>
        <x:v>7</x:v>
      </x:c>
      <x:c r="L10" s="26" t="n">
        <x:f>ROUND(I10*G10,0)</x:f>
        <x:v>488</x:v>
      </x:c>
      <x:c r="M10" s="26" t="n">
        <x:f>IF(H10="是",CEILING(L10/J10,1),0)</x:f>
        <x:v>7</x:v>
      </x:c>
      <x:c r="N10" s="26" t="n">
        <x:f>M10-K10</x:f>
        <x:v>0</x:v>
      </x:c>
      <x:c r="O10" s="24" t="str">
        <x:f>'500件商品'!Q10</x:f>
        <x:v>A區</x:v>
      </x:c>
      <x:c r="P10" s="26" t="n">
        <x:f>'500件商品'!R10</x:f>
        <x:v>40</x:v>
      </x:c>
      <x:c r="Q10" s="24" t="str">
        <x:f>IF(H10="否","非棧板管理",IF(AND(E10="是",N10&gt;0),"季節彈性前移區",IF(OR(C10="Cluster 3",D10&gt;=55),"近端低層棧板區",IF(C10="Cluster 2","中段大貨位",IF(C10="Cluster 4","遠端彈性儲位","中段棧板區")))))</x:f>
        <x:v>近端低層棧板區</x:v>
      </x:c>
      <x:c r="R10" s="24" t="str">
        <x:f>IF(AND(H10="是",E10="是",N10&gt;0),"是","否")</x:f>
        <x:v>否</x:v>
      </x:c>
      <x:c r="S10" s="24" t="str">
        <x:f>IF(H10="否","非本次棧板儲位分析對象",IF(R10="是","旺季前需前移並增加棧板位",IF(N10&gt;0,"需增加棧板位",IF(N10&lt;0,"可釋放部分棧板位","維持現況"))))</x:f>
        <x:v>維持現況</x:v>
      </x:c>
    </x:row>
    <x:row r="11">
      <x:c r="A11" s="24" t="str">
        <x:f>'500件商品'!A11</x:f>
        <x:v>PX0007</x:v>
      </x:c>
      <x:c r="B11" s="24" t="str">
        <x:f>'500件商品'!B11</x:f>
        <x:v>白米3kg</x:v>
      </x:c>
      <x:c r="C11" s="24" t="str">
        <x:f>'500件商品'!D11</x:f>
        <x:v>Cluster 3</x:v>
      </x:c>
      <x:c r="D11" s="26" t="n">
        <x:f>'500件商品'!F11</x:f>
        <x:v>70</x:v>
      </x:c>
      <x:c r="E11" s="24" t="str">
        <x:f>'500件商品'!K11</x:f>
        <x:v>否</x:v>
      </x:c>
      <x:c r="F11" s="24" t="str">
        <x:f>'500件商品'!L11</x:f>
      </x:c>
      <x:c r="G11" s="28" t="n">
        <x:f>'500件商品'!M11</x:f>
        <x:v>1</x:v>
      </x:c>
      <x:c r="H11" s="24" t="str">
        <x:f>'500件商品'!P11</x:f>
        <x:v>是</x:v>
      </x:c>
      <x:c r="I11" s="26" t="n">
        <x:f>'500件商品'!N11</x:f>
        <x:v>605</x:v>
      </x:c>
      <x:c r="J11" s="26" t="n">
        <x:f>'500件商品'!O11</x:f>
        <x:v>36</x:v>
      </x:c>
      <x:c r="K11" s="26" t="n">
        <x:f>IF(H11="是",CEILING(I11/J11,1),0)</x:f>
        <x:v>17</x:v>
      </x:c>
      <x:c r="L11" s="26" t="n">
        <x:f>ROUND(I11*G11,0)</x:f>
        <x:v>605</x:v>
      </x:c>
      <x:c r="M11" s="26" t="n">
        <x:f>IF(H11="是",CEILING(L11/J11,1),0)</x:f>
        <x:v>17</x:v>
      </x:c>
      <x:c r="N11" s="26" t="n">
        <x:f>M11-K11</x:f>
        <x:v>0</x:v>
      </x:c>
      <x:c r="O11" s="24" t="str">
        <x:f>'500件商品'!Q11</x:f>
        <x:v>K區</x:v>
      </x:c>
      <x:c r="P11" s="26" t="n">
        <x:f>'500件商品'!R11</x:f>
        <x:v>38</x:v>
      </x:c>
      <x:c r="Q11" s="24" t="str">
        <x:f>IF(H11="否","非棧板管理",IF(AND(E11="是",N11&gt;0),"季節彈性前移區",IF(OR(C11="Cluster 3",D11&gt;=55),"近端低層棧板區",IF(C11="Cluster 2","中段大貨位",IF(C11="Cluster 4","遠端彈性儲位","中段棧板區")))))</x:f>
        <x:v>近端低層棧板區</x:v>
      </x:c>
      <x:c r="R11" s="24" t="str">
        <x:f>IF(AND(H11="是",E11="是",N11&gt;0),"是","否")</x:f>
        <x:v>否</x:v>
      </x:c>
      <x:c r="S11" s="24" t="str">
        <x:f>IF(H11="否","非本次棧板儲位分析對象",IF(R11="是","旺季前需前移並增加棧板位",IF(N11&gt;0,"需增加棧板位",IF(N11&lt;0,"可釋放部分棧板位","維持現況"))))</x:f>
        <x:v>維持現況</x:v>
      </x:c>
    </x:row>
    <x:row r="12">
      <x:c r="A12" s="24" t="str">
        <x:f>'500件商品'!A12</x:f>
        <x:v>PX0008</x:v>
      </x:c>
      <x:c r="B12" s="24" t="str">
        <x:f>'500件商品'!B12</x:f>
        <x:v>洗衣精補充包</x:v>
      </x:c>
      <x:c r="C12" s="24" t="str">
        <x:f>'500件商品'!D12</x:f>
        <x:v>Cluster 3</x:v>
      </x:c>
      <x:c r="D12" s="26" t="n">
        <x:f>'500件商品'!F12</x:f>
        <x:v>62</x:v>
      </x:c>
      <x:c r="E12" s="24" t="str">
        <x:f>'500件商品'!K12</x:f>
        <x:v>否</x:v>
      </x:c>
      <x:c r="F12" s="24" t="str">
        <x:f>'500件商品'!L12</x:f>
      </x:c>
      <x:c r="G12" s="28" t="n">
        <x:f>'500件商品'!M12</x:f>
        <x:v>1.1</x:v>
      </x:c>
      <x:c r="H12" s="24" t="str">
        <x:f>'500件商品'!P12</x:f>
        <x:v>是</x:v>
      </x:c>
      <x:c r="I12" s="26" t="n">
        <x:f>'500件商品'!N12</x:f>
        <x:v>534</x:v>
      </x:c>
      <x:c r="J12" s="26" t="n">
        <x:f>'500件商品'!O12</x:f>
        <x:v>60</x:v>
      </x:c>
      <x:c r="K12" s="26" t="n">
        <x:f>IF(H12="是",CEILING(I12/J12,1),0)</x:f>
        <x:v>9</x:v>
      </x:c>
      <x:c r="L12" s="26" t="n">
        <x:f>ROUND(I12*G12,0)</x:f>
        <x:v>587</x:v>
      </x:c>
      <x:c r="M12" s="26" t="n">
        <x:f>IF(H12="是",CEILING(L12/J12,1),0)</x:f>
        <x:v>10</x:v>
      </x:c>
      <x:c r="N12" s="26" t="n">
        <x:f>M12-K12</x:f>
        <x:v>1</x:v>
      </x:c>
      <x:c r="O12" s="24" t="str">
        <x:f>'500件商品'!Q12</x:f>
        <x:v>1區</x:v>
      </x:c>
      <x:c r="P12" s="26" t="n">
        <x:f>'500件商品'!R12</x:f>
        <x:v>36</x:v>
      </x:c>
      <x:c r="Q12" s="24" t="str">
        <x:f>IF(H12="否","非棧板管理",IF(AND(E12="是",N12&gt;0),"季節彈性前移區",IF(OR(C12="Cluster 3",D12&gt;=55),"近端低層棧板區",IF(C12="Cluster 2","中段大貨位",IF(C12="Cluster 4","遠端彈性儲位","中段棧板區")))))</x:f>
        <x:v>近端低層棧板區</x:v>
      </x:c>
      <x:c r="R12" s="24" t="str">
        <x:f>IF(AND(H12="是",E12="是",N12&gt;0),"是","否")</x:f>
        <x:v>否</x:v>
      </x:c>
      <x:c r="S12" s="24" t="str">
        <x:f>IF(H12="否","非本次棧板儲位分析對象",IF(R12="是","旺季前需前移並增加棧板位",IF(N12&gt;0,"需增加棧板位",IF(N12&lt;0,"可釋放部分棧板位","維持現況"))))</x:f>
        <x:v>需增加棧板位</x:v>
      </x:c>
    </x:row>
    <x:row r="13">
      <x:c r="A13" s="24" t="str">
        <x:f>'500件商品'!A13</x:f>
        <x:v>PX0009</x:v>
      </x:c>
      <x:c r="B13" s="24" t="str">
        <x:f>'500件商品'!B13</x:f>
        <x:v>廚房紙巾</x:v>
      </x:c>
      <x:c r="C13" s="24" t="str">
        <x:f>'500件商品'!D13</x:f>
        <x:v>Cluster 2</x:v>
      </x:c>
      <x:c r="D13" s="26" t="n">
        <x:f>'500件商品'!F13</x:f>
        <x:v>55</x:v>
      </x:c>
      <x:c r="E13" s="24" t="str">
        <x:f>'500件商品'!K13</x:f>
        <x:v>否</x:v>
      </x:c>
      <x:c r="F13" s="24" t="str">
        <x:f>'500件商品'!L13</x:f>
      </x:c>
      <x:c r="G13" s="28" t="n">
        <x:f>'500件商品'!M13</x:f>
        <x:v>1.1</x:v>
      </x:c>
      <x:c r="H13" s="24" t="str">
        <x:f>'500件商品'!P13</x:f>
        <x:v>是</x:v>
      </x:c>
      <x:c r="I13" s="26" t="n">
        <x:f>'500件商品'!N13</x:f>
        <x:v>466</x:v>
      </x:c>
      <x:c r="J13" s="26" t="n">
        <x:f>'500件商品'!O13</x:f>
        <x:v>20</x:v>
      </x:c>
      <x:c r="K13" s="26" t="n">
        <x:f>IF(H13="是",CEILING(I13/J13,1),0)</x:f>
        <x:v>24</x:v>
      </x:c>
      <x:c r="L13" s="26" t="n">
        <x:f>ROUND(I13*G13,0)</x:f>
        <x:v>513</x:v>
      </x:c>
      <x:c r="M13" s="26" t="n">
        <x:f>IF(H13="是",CEILING(L13/J13,1),0)</x:f>
        <x:v>26</x:v>
      </x:c>
      <x:c r="N13" s="26" t="n">
        <x:f>M13-K13</x:f>
        <x:v>2</x:v>
      </x:c>
      <x:c r="O13" s="24" t="str">
        <x:f>'500件商品'!Q13</x:f>
        <x:v>A區</x:v>
      </x:c>
      <x:c r="P13" s="26" t="n">
        <x:f>'500件商品'!R13</x:f>
        <x:v>35</x:v>
      </x:c>
      <x:c r="Q13" s="24" t="str">
        <x:f>IF(H13="否","非棧板管理",IF(AND(E13="是",N13&gt;0),"季節彈性前移區",IF(OR(C13="Cluster 3",D13&gt;=55),"近端低層棧板區",IF(C13="Cluster 2","中段大貨位",IF(C13="Cluster 4","遠端彈性儲位","中段棧板區")))))</x:f>
        <x:v>近端低層棧板區</x:v>
      </x:c>
      <x:c r="R13" s="24" t="str">
        <x:f>IF(AND(H13="是",E13="是",N13&gt;0),"是","否")</x:f>
        <x:v>否</x:v>
      </x:c>
      <x:c r="S13" s="24" t="str">
        <x:f>IF(H13="否","非本次棧板儲位分析對象",IF(R13="是","旺季前需前移並增加棧板位",IF(N13&gt;0,"需增加棧板位",IF(N13&lt;0,"可釋放部分棧板位","維持現況"))))</x:f>
        <x:v>需增加棧板位</x:v>
      </x:c>
    </x:row>
    <x:row r="14">
      <x:c r="A14" s="24" t="str">
        <x:f>'500件商品'!A14</x:f>
        <x:v>PX0010</x:v>
      </x:c>
      <x:c r="B14" s="24" t="str">
        <x:f>'500件商品'!B14</x:f>
        <x:v>餅乾箱</x:v>
      </x:c>
      <x:c r="C14" s="24" t="str">
        <x:f>'500件商品'!D14</x:f>
        <x:v>Cluster 1</x:v>
      </x:c>
      <x:c r="D14" s="26" t="n">
        <x:f>'500件商品'!F14</x:f>
        <x:v>50</x:v>
      </x:c>
      <x:c r="E14" s="24" t="str">
        <x:f>'500件商品'!K14</x:f>
        <x:v>否</x:v>
      </x:c>
      <x:c r="F14" s="24" t="str">
        <x:f>'500件商品'!L14</x:f>
      </x:c>
      <x:c r="G14" s="28" t="n">
        <x:f>'500件商品'!M14</x:f>
        <x:v>1</x:v>
      </x:c>
      <x:c r="H14" s="24" t="str">
        <x:f>'500件商品'!P14</x:f>
        <x:v>是</x:v>
      </x:c>
      <x:c r="I14" s="26" t="n">
        <x:f>'500件商品'!N14</x:f>
        <x:v>284</x:v>
      </x:c>
      <x:c r="J14" s="26" t="n">
        <x:f>'500件商品'!O14</x:f>
        <x:v>80</x:v>
      </x:c>
      <x:c r="K14" s="26" t="n">
        <x:f>IF(H14="是",CEILING(I14/J14,1),0)</x:f>
        <x:v>4</x:v>
      </x:c>
      <x:c r="L14" s="26" t="n">
        <x:f>ROUND(I14*G14,0)</x:f>
        <x:v>284</x:v>
      </x:c>
      <x:c r="M14" s="26" t="n">
        <x:f>IF(H14="是",CEILING(L14/J14,1),0)</x:f>
        <x:v>4</x:v>
      </x:c>
      <x:c r="N14" s="26" t="n">
        <x:f>M14-K14</x:f>
        <x:v>0</x:v>
      </x:c>
      <x:c r="O14" s="24" t="str">
        <x:f>'500件商品'!Q14</x:f>
        <x:v>1區</x:v>
      </x:c>
      <x:c r="P14" s="26" t="n">
        <x:f>'500件商品'!R14</x:f>
        <x:v>34</x:v>
      </x:c>
      <x:c r="Q14" s="24" t="str">
        <x:f>IF(H14="否","非棧板管理",IF(AND(E14="是",N14&gt;0),"季節彈性前移區",IF(OR(C14="Cluster 3",D14&gt;=55),"近端低層棧板區",IF(C14="Cluster 2","中段大貨位",IF(C14="Cluster 4","遠端彈性儲位","中段棧板區")))))</x:f>
        <x:v>中段棧板區</x:v>
      </x:c>
      <x:c r="R14" s="24" t="str">
        <x:f>IF(AND(H14="是",E14="是",N14&gt;0),"是","否")</x:f>
        <x:v>否</x:v>
      </x:c>
      <x:c r="S14" s="24" t="str">
        <x:f>IF(H14="否","非本次棧板儲位分析對象",IF(R14="是","旺季前需前移並增加棧板位",IF(N14&gt;0,"需增加棧板位",IF(N14&lt;0,"可釋放部分棧板位","維持現況"))))</x:f>
        <x:v>維持現況</x:v>
      </x:c>
    </x:row>
    <x:row r="15">
      <x:c r="A15" s="24" t="str">
        <x:f>'500件商品'!A15</x:f>
        <x:v>PX0011</x:v>
      </x:c>
      <x:c r="B15" s="24" t="str">
        <x:f>'500件商品'!B15</x:f>
        <x:v>罐頭食品</x:v>
      </x:c>
      <x:c r="C15" s="24" t="str">
        <x:f>'500件商品'!D15</x:f>
        <x:v>Cluster 2</x:v>
      </x:c>
      <x:c r="D15" s="26" t="n">
        <x:f>'500件商品'!F15</x:f>
        <x:v>45</x:v>
      </x:c>
      <x:c r="E15" s="24" t="str">
        <x:f>'500件商品'!K15</x:f>
        <x:v>否</x:v>
      </x:c>
      <x:c r="F15" s="24" t="str">
        <x:f>'500件商品'!L15</x:f>
      </x:c>
      <x:c r="G15" s="28" t="n">
        <x:f>'500件商品'!M15</x:f>
        <x:v>1</x:v>
      </x:c>
      <x:c r="H15" s="24" t="str">
        <x:f>'500件商品'!P15</x:f>
        <x:v>是</x:v>
      </x:c>
      <x:c r="I15" s="26" t="n">
        <x:f>'500件商品'!N15</x:f>
        <x:v>286</x:v>
      </x:c>
      <x:c r="J15" s="26" t="n">
        <x:f>'500件商品'!O15</x:f>
        <x:v>48</x:v>
      </x:c>
      <x:c r="K15" s="26" t="n">
        <x:f>IF(H15="是",CEILING(I15/J15,1),0)</x:f>
        <x:v>6</x:v>
      </x:c>
      <x:c r="L15" s="26" t="n">
        <x:f>ROUND(I15*G15,0)</x:f>
        <x:v>286</x:v>
      </x:c>
      <x:c r="M15" s="26" t="n">
        <x:f>IF(H15="是",CEILING(L15/J15,1),0)</x:f>
        <x:v>6</x:v>
      </x:c>
      <x:c r="N15" s="26" t="n">
        <x:f>M15-K15</x:f>
        <x:v>0</x:v>
      </x:c>
      <x:c r="O15" s="24" t="str">
        <x:f>'500件商品'!Q15</x:f>
        <x:v>K區</x:v>
      </x:c>
      <x:c r="P15" s="26" t="n">
        <x:f>'500件商品'!R15</x:f>
        <x:v>32</x:v>
      </x:c>
      <x:c r="Q15" s="24" t="str">
        <x:f>IF(H15="否","非棧板管理",IF(AND(E15="是",N15&gt;0),"季節彈性前移區",IF(OR(C15="Cluster 3",D15&gt;=55),"近端低層棧板區",IF(C15="Cluster 2","中段大貨位",IF(C15="Cluster 4","遠端彈性儲位","中段棧板區")))))</x:f>
        <x:v>中段大貨位</x:v>
      </x:c>
      <x:c r="R15" s="24" t="str">
        <x:f>IF(AND(H15="是",E15="是",N15&gt;0),"是","否")</x:f>
        <x:v>否</x:v>
      </x:c>
      <x:c r="S15" s="24" t="str">
        <x:f>IF(H15="否","非本次棧板儲位分析對象",IF(R15="是","旺季前需前移並增加棧板位",IF(N15&gt;0,"需增加棧板位",IF(N15&lt;0,"可釋放部分棧板位","維持現況"))))</x:f>
        <x:v>維持現況</x:v>
      </x:c>
    </x:row>
    <x:row r="16">
      <x:c r="A16" s="24" t="str">
        <x:f>'500件商品'!A16</x:f>
        <x:v>PX0012</x:v>
      </x:c>
      <x:c r="B16" s="24" t="str">
        <x:f>'500件商品'!B16</x:f>
        <x:v>牛奶保久乳</x:v>
      </x:c>
      <x:c r="C16" s="24" t="str">
        <x:f>'500件商品'!D16</x:f>
        <x:v>Cluster 2</x:v>
      </x:c>
      <x:c r="D16" s="26" t="n">
        <x:f>'500件商品'!F16</x:f>
        <x:v>42</x:v>
      </x:c>
      <x:c r="E16" s="24" t="str">
        <x:f>'500件商品'!K16</x:f>
        <x:v>否</x:v>
      </x:c>
      <x:c r="F16" s="24" t="str">
        <x:f>'500件商品'!L16</x:f>
      </x:c>
      <x:c r="G16" s="28" t="n">
        <x:f>'500件商品'!M16</x:f>
        <x:v>1</x:v>
      </x:c>
      <x:c r="H16" s="24" t="str">
        <x:f>'500件商品'!P16</x:f>
        <x:v>是</x:v>
      </x:c>
      <x:c r="I16" s="26" t="n">
        <x:f>'500件商品'!N16</x:f>
        <x:v>143</x:v>
      </x:c>
      <x:c r="J16" s="26" t="n">
        <x:f>'500件商品'!O16</x:f>
        <x:v>48</x:v>
      </x:c>
      <x:c r="K16" s="26" t="n">
        <x:f>IF(H16="是",CEILING(I16/J16,1),0)</x:f>
        <x:v>3</x:v>
      </x:c>
      <x:c r="L16" s="26" t="n">
        <x:f>ROUND(I16*G16,0)</x:f>
        <x:v>143</x:v>
      </x:c>
      <x:c r="M16" s="26" t="n">
        <x:f>IF(H16="是",CEILING(L16/J16,1),0)</x:f>
        <x:v>3</x:v>
      </x:c>
      <x:c r="N16" s="26" t="n">
        <x:f>M16-K16</x:f>
        <x:v>0</x:v>
      </x:c>
      <x:c r="O16" s="24" t="str">
        <x:f>'500件商品'!Q16</x:f>
        <x:v>K區</x:v>
      </x:c>
      <x:c r="P16" s="26" t="n">
        <x:f>'500件商品'!R16</x:f>
        <x:v>30</x:v>
      </x:c>
      <x:c r="Q16" s="24" t="str">
        <x:f>IF(H16="否","非棧板管理",IF(AND(E16="是",N16&gt;0),"季節彈性前移區",IF(OR(C16="Cluster 3",D16&gt;=55),"近端低層棧板區",IF(C16="Cluster 2","中段大貨位",IF(C16="Cluster 4","遠端彈性儲位","中段棧板區")))))</x:f>
        <x:v>中段大貨位</x:v>
      </x:c>
      <x:c r="R16" s="24" t="str">
        <x:f>IF(AND(H16="是",E16="是",N16&gt;0),"是","否")</x:f>
        <x:v>否</x:v>
      </x:c>
      <x:c r="S16" s="24" t="str">
        <x:f>IF(H16="否","非本次棧板儲位分析對象",IF(R16="是","旺季前需前移並增加棧板位",IF(N16&gt;0,"需增加棧板位",IF(N16&lt;0,"可釋放部分棧板位","維持現況"))))</x:f>
        <x:v>維持現況</x:v>
      </x:c>
    </x:row>
    <x:row r="17">
      <x:c r="A17" s="24" t="str">
        <x:f>'500件商品'!A17</x:f>
        <x:v>PX0013</x:v>
      </x:c>
      <x:c r="B17" s="24" t="str">
        <x:f>'500件商品'!B17</x:f>
        <x:v>沐浴乳</x:v>
      </x:c>
      <x:c r="C17" s="24" t="str">
        <x:f>'500件商品'!D17</x:f>
        <x:v>Cluster 1</x:v>
      </x:c>
      <x:c r="D17" s="26" t="n">
        <x:f>'500件商品'!F17</x:f>
        <x:v>36</x:v>
      </x:c>
      <x:c r="E17" s="24" t="str">
        <x:f>'500件商品'!K17</x:f>
        <x:v>否</x:v>
      </x:c>
      <x:c r="F17" s="24" t="str">
        <x:f>'500件商品'!L17</x:f>
      </x:c>
      <x:c r="G17" s="28" t="n">
        <x:f>'500件商品'!M17</x:f>
        <x:v>1.1</x:v>
      </x:c>
      <x:c r="H17" s="24" t="str">
        <x:f>'500件商品'!P17</x:f>
        <x:v>是</x:v>
      </x:c>
      <x:c r="I17" s="26" t="n">
        <x:f>'500件商品'!N17</x:f>
        <x:v>267</x:v>
      </x:c>
      <x:c r="J17" s="26" t="n">
        <x:f>'500件商品'!O17</x:f>
        <x:v>60</x:v>
      </x:c>
      <x:c r="K17" s="26" t="n">
        <x:f>IF(H17="是",CEILING(I17/J17,1),0)</x:f>
        <x:v>5</x:v>
      </x:c>
      <x:c r="L17" s="26" t="n">
        <x:f>ROUND(I17*G17,0)</x:f>
        <x:v>294</x:v>
      </x:c>
      <x:c r="M17" s="26" t="n">
        <x:f>IF(H17="是",CEILING(L17/J17,1),0)</x:f>
        <x:v>5</x:v>
      </x:c>
      <x:c r="N17" s="26" t="n">
        <x:f>M17-K17</x:f>
        <x:v>0</x:v>
      </x:c>
      <x:c r="O17" s="24" t="str">
        <x:f>'500件商品'!Q17</x:f>
        <x:v>1區</x:v>
      </x:c>
      <x:c r="P17" s="26" t="n">
        <x:f>'500件商品'!R17</x:f>
        <x:v>28</x:v>
      </x:c>
      <x:c r="Q17" s="24" t="str">
        <x:f>IF(H17="否","非棧板管理",IF(AND(E17="是",N17&gt;0),"季節彈性前移區",IF(OR(C17="Cluster 3",D17&gt;=55),"近端低層棧板區",IF(C17="Cluster 2","中段大貨位",IF(C17="Cluster 4","遠端彈性儲位","中段棧板區")))))</x:f>
        <x:v>中段棧板區</x:v>
      </x:c>
      <x:c r="R17" s="24" t="str">
        <x:f>IF(AND(H17="是",E17="是",N17&gt;0),"是","否")</x:f>
        <x:v>否</x:v>
      </x:c>
      <x:c r="S17" s="24" t="str">
        <x:f>IF(H17="否","非本次棧板儲位分析對象",IF(R17="是","旺季前需前移並增加棧板位",IF(N17&gt;0,"需增加棧板位",IF(N17&lt;0,"可釋放部分棧板位","維持現況"))))</x:f>
        <x:v>維持現況</x:v>
      </x:c>
    </x:row>
    <x:row r="18">
      <x:c r="A18" s="24" t="str">
        <x:f>'500件商品'!A18</x:f>
        <x:v>PX0014</x:v>
      </x:c>
      <x:c r="B18" s="24" t="str">
        <x:f>'500件商品'!B18</x:f>
        <x:v>洗髮精</x:v>
      </x:c>
      <x:c r="C18" s="24" t="str">
        <x:f>'500件商品'!D18</x:f>
        <x:v>Cluster 1</x:v>
      </x:c>
      <x:c r="D18" s="26" t="n">
        <x:f>'500件商品'!F18</x:f>
        <x:v>32</x:v>
      </x:c>
      <x:c r="E18" s="24" t="str">
        <x:f>'500件商品'!K18</x:f>
        <x:v>否</x:v>
      </x:c>
      <x:c r="F18" s="24" t="str">
        <x:f>'500件商品'!L18</x:f>
      </x:c>
      <x:c r="G18" s="28" t="n">
        <x:f>'500件商品'!M18</x:f>
        <x:v>1</x:v>
      </x:c>
      <x:c r="H18" s="24" t="str">
        <x:f>'500件商品'!P18</x:f>
        <x:v>是</x:v>
      </x:c>
      <x:c r="I18" s="26" t="n">
        <x:f>'500件商品'!N18</x:f>
        <x:v>171</x:v>
      </x:c>
      <x:c r="J18" s="26" t="n">
        <x:f>'500件商品'!O18</x:f>
        <x:v>60</x:v>
      </x:c>
      <x:c r="K18" s="26" t="n">
        <x:f>IF(H18="是",CEILING(I18/J18,1),0)</x:f>
        <x:v>3</x:v>
      </x:c>
      <x:c r="L18" s="26" t="n">
        <x:f>ROUND(I18*G18,0)</x:f>
        <x:v>171</x:v>
      </x:c>
      <x:c r="M18" s="26" t="n">
        <x:f>IF(H18="是",CEILING(L18/J18,1),0)</x:f>
        <x:v>3</x:v>
      </x:c>
      <x:c r="N18" s="26" t="n">
        <x:f>M18-K18</x:f>
        <x:v>0</x:v>
      </x:c>
      <x:c r="O18" s="24" t="str">
        <x:f>'500件商品'!Q18</x:f>
        <x:v>1區</x:v>
      </x:c>
      <x:c r="P18" s="26" t="n">
        <x:f>'500件商品'!R18</x:f>
        <x:v>27</x:v>
      </x:c>
      <x:c r="Q18" s="24" t="str">
        <x:f>IF(H18="否","非棧板管理",IF(AND(E18="是",N18&gt;0),"季節彈性前移區",IF(OR(C18="Cluster 3",D18&gt;=55),"近端低層棧板區",IF(C18="Cluster 2","中段大貨位",IF(C18="Cluster 4","遠端彈性儲位","中段棧板區")))))</x:f>
        <x:v>中段棧板區</x:v>
      </x:c>
      <x:c r="R18" s="24" t="str">
        <x:f>IF(AND(H18="是",E18="是",N18&gt;0),"是","否")</x:f>
        <x:v>否</x:v>
      </x:c>
      <x:c r="S18" s="24" t="str">
        <x:f>IF(H18="否","非本次棧板儲位分析對象",IF(R18="是","旺季前需前移並增加棧板位",IF(N18&gt;0,"需增加棧板位",IF(N18&lt;0,"可釋放部分棧板位","維持現況"))))</x:f>
        <x:v>維持現況</x:v>
      </x:c>
    </x:row>
    <x:row r="19">
      <x:c r="A19" s="24" t="str">
        <x:f>'500件商品'!A19</x:f>
        <x:v>PX0015</x:v>
      </x:c>
      <x:c r="B19" s="24" t="str">
        <x:f>'500件商品'!B19</x:f>
        <x:v>洗碗精</x:v>
      </x:c>
      <x:c r="C19" s="24" t="str">
        <x:f>'500件商品'!D19</x:f>
        <x:v>Cluster 1</x:v>
      </x:c>
      <x:c r="D19" s="26" t="n">
        <x:f>'500件商品'!F19</x:f>
        <x:v>30</x:v>
      </x:c>
      <x:c r="E19" s="24" t="str">
        <x:f>'500件商品'!K19</x:f>
        <x:v>否</x:v>
      </x:c>
      <x:c r="F19" s="24" t="str">
        <x:f>'500件商品'!L19</x:f>
      </x:c>
      <x:c r="G19" s="28" t="n">
        <x:f>'500件商品'!M19</x:f>
        <x:v>1.1</x:v>
      </x:c>
      <x:c r="H19" s="24" t="str">
        <x:f>'500件商品'!P19</x:f>
        <x:v>是</x:v>
      </x:c>
      <x:c r="I19" s="26" t="n">
        <x:f>'500件商品'!N19</x:f>
        <x:v>232</x:v>
      </x:c>
      <x:c r="J19" s="26" t="n">
        <x:f>'500件商品'!O19</x:f>
        <x:v>48</x:v>
      </x:c>
      <x:c r="K19" s="26" t="n">
        <x:f>IF(H19="是",CEILING(I19/J19,1),0)</x:f>
        <x:v>5</x:v>
      </x:c>
      <x:c r="L19" s="26" t="n">
        <x:f>ROUND(I19*G19,0)</x:f>
        <x:v>255</x:v>
      </x:c>
      <x:c r="M19" s="26" t="n">
        <x:f>IF(H19="是",CEILING(L19/J19,1),0)</x:f>
        <x:v>6</x:v>
      </x:c>
      <x:c r="N19" s="26" t="n">
        <x:f>M19-K19</x:f>
        <x:v>1</x:v>
      </x:c>
      <x:c r="O19" s="24" t="str">
        <x:f>'500件商品'!Q19</x:f>
        <x:v>A區</x:v>
      </x:c>
      <x:c r="P19" s="26" t="n">
        <x:f>'500件商品'!R19</x:f>
        <x:v>25</x:v>
      </x:c>
      <x:c r="Q19" s="24" t="str">
        <x:f>IF(H19="否","非棧板管理",IF(AND(E19="是",N19&gt;0),"季節彈性前移區",IF(OR(C19="Cluster 3",D19&gt;=55),"近端低層棧板區",IF(C19="Cluster 2","中段大貨位",IF(C19="Cluster 4","遠端彈性儲位","中段棧板區")))))</x:f>
        <x:v>中段棧板區</x:v>
      </x:c>
      <x:c r="R19" s="24" t="str">
        <x:f>IF(AND(H19="是",E19="是",N19&gt;0),"是","否")</x:f>
        <x:v>否</x:v>
      </x:c>
      <x:c r="S19" s="24" t="str">
        <x:f>IF(H19="否","非本次棧板儲位分析對象",IF(R19="是","旺季前需前移並增加棧板位",IF(N19&gt;0,"需增加棧板位",IF(N19&lt;0,"可釋放部分棧板位","維持現況"))))</x:f>
        <x:v>需增加棧板位</x:v>
      </x:c>
    </x:row>
    <x:row r="20">
      <x:c r="A20" s="24" t="str">
        <x:f>'500件商品'!A20</x:f>
        <x:v>PX0016</x:v>
      </x:c>
      <x:c r="B20" s="24" t="str">
        <x:f>'500件商品'!B20</x:f>
        <x:v>牙膏組</x:v>
      </x:c>
      <x:c r="C20" s="24" t="str">
        <x:f>'500件商品'!D20</x:f>
        <x:v>Cluster 5</x:v>
      </x:c>
      <x:c r="D20" s="26" t="n">
        <x:f>'500件商品'!F20</x:f>
        <x:v>26</x:v>
      </x:c>
      <x:c r="E20" s="24" t="str">
        <x:f>'500件商品'!K20</x:f>
        <x:v>否</x:v>
      </x:c>
      <x:c r="F20" s="24" t="str">
        <x:f>'500件商品'!L20</x:f>
      </x:c>
      <x:c r="G20" s="28" t="n">
        <x:f>'500件商品'!M20</x:f>
        <x:v>1</x:v>
      </x:c>
      <x:c r="H20" s="24" t="str">
        <x:f>'500件商品'!P20</x:f>
        <x:v>否</x:v>
      </x:c>
      <x:c r="I20" s="26" t="n">
        <x:f>'500件商品'!N20</x:f>
        <x:v>207</x:v>
      </x:c>
      <x:c r="J20" s="26" t="str">
        <x:f>'500件商品'!O20</x:f>
      </x:c>
      <x:c r="K20" s="26" t="n">
        <x:f>IF(H20="是",CEILING(I20/J20,1),0)</x:f>
        <x:v>0</x:v>
      </x:c>
      <x:c r="L20" s="26" t="n">
        <x:f>ROUND(I20*G20,0)</x:f>
        <x:v>207</x:v>
      </x:c>
      <x:c r="M20" s="26" t="n">
        <x:f>IF(H20="是",CEILING(L20/J20,1),0)</x:f>
        <x:v>0</x:v>
      </x:c>
      <x:c r="N20" s="26" t="n">
        <x:f>M20-K20</x:f>
        <x:v>0</x:v>
      </x:c>
      <x:c r="O20" s="24" t="str">
        <x:f>'500件商品'!Q20</x:f>
        <x:v>A區</x:v>
      </x:c>
      <x:c r="P20" s="26" t="n">
        <x:f>'500件商品'!R20</x:f>
        <x:v>22</x:v>
      </x:c>
      <x:c r="Q20" s="24" t="str">
        <x:f>IF(H20="否","非棧板管理",IF(AND(E20="是",N20&gt;0),"季節彈性前移區",IF(OR(C20="Cluster 3",D20&gt;=55),"近端低層棧板區",IF(C20="Cluster 2","中段大貨位",IF(C20="Cluster 4","遠端彈性儲位","中段棧板區")))))</x:f>
        <x:v>非棧板管理</x:v>
      </x:c>
      <x:c r="R20" s="24" t="str">
        <x:f>IF(AND(H20="是",E20="是",N20&gt;0),"是","否")</x:f>
        <x:v>否</x:v>
      </x:c>
      <x:c r="S20" s="24" t="str">
        <x:f>IF(H20="否","非本次棧板儲位分析對象",IF(R20="是","旺季前需前移並增加棧板位",IF(N20&gt;0,"需增加棧板位",IF(N20&lt;0,"可釋放部分棧板位","維持現況"))))</x:f>
        <x:v>非本次棧板儲位分析對象</x:v>
      </x:c>
    </x:row>
    <x:row r="21">
      <x:c r="A21" s="24" t="str">
        <x:f>'500件商品'!A21</x:f>
        <x:v>PX0017</x:v>
      </x:c>
      <x:c r="B21" s="24" t="str">
        <x:f>'500件商品'!B21</x:f>
        <x:v>牙刷組</x:v>
      </x:c>
      <x:c r="C21" s="24" t="str">
        <x:f>'500件商品'!D21</x:f>
        <x:v>Cluster 5</x:v>
      </x:c>
      <x:c r="D21" s="26" t="n">
        <x:f>'500件商品'!F21</x:f>
        <x:v>24</x:v>
      </x:c>
      <x:c r="E21" s="24" t="str">
        <x:f>'500件商品'!K21</x:f>
        <x:v>否</x:v>
      </x:c>
      <x:c r="F21" s="24" t="str">
        <x:f>'500件商品'!L21</x:f>
      </x:c>
      <x:c r="G21" s="28" t="n">
        <x:f>'500件商品'!M21</x:f>
        <x:v>1</x:v>
      </x:c>
      <x:c r="H21" s="24" t="str">
        <x:f>'500件商品'!P21</x:f>
        <x:v>否</x:v>
      </x:c>
      <x:c r="I21" s="26" t="n">
        <x:f>'500件商品'!N21</x:f>
        <x:v>159</x:v>
      </x:c>
      <x:c r="J21" s="26" t="str">
        <x:f>'500件商品'!O21</x:f>
      </x:c>
      <x:c r="K21" s="26" t="n">
        <x:f>IF(H21="是",CEILING(I21/J21,1),0)</x:f>
        <x:v>0</x:v>
      </x:c>
      <x:c r="L21" s="26" t="n">
        <x:f>ROUND(I21*G21,0)</x:f>
        <x:v>159</x:v>
      </x:c>
      <x:c r="M21" s="26" t="n">
        <x:f>IF(H21="是",CEILING(L21/J21,1),0)</x:f>
        <x:v>0</x:v>
      </x:c>
      <x:c r="N21" s="26" t="n">
        <x:f>M21-K21</x:f>
        <x:v>0</x:v>
      </x:c>
      <x:c r="O21" s="24" t="str">
        <x:f>'500件商品'!Q21</x:f>
        <x:v>1區</x:v>
      </x:c>
      <x:c r="P21" s="26" t="n">
        <x:f>'500件商品'!R21</x:f>
        <x:v>20</x:v>
      </x:c>
      <x:c r="Q21" s="24" t="str">
        <x:f>IF(H21="否","非棧板管理",IF(AND(E21="是",N21&gt;0),"季節彈性前移區",IF(OR(C21="Cluster 3",D21&gt;=55),"近端低層棧板區",IF(C21="Cluster 2","中段大貨位",IF(C21="Cluster 4","遠端彈性儲位","中段棧板區")))))</x:f>
        <x:v>非棧板管理</x:v>
      </x:c>
      <x:c r="R21" s="24" t="str">
        <x:f>IF(AND(H21="是",E21="是",N21&gt;0),"是","否")</x:f>
        <x:v>否</x:v>
      </x:c>
      <x:c r="S21" s="24" t="str">
        <x:f>IF(H21="否","非本次棧板儲位分析對象",IF(R21="是","旺季前需前移並增加棧板位",IF(N21&gt;0,"需增加棧板位",IF(N21&lt;0,"可釋放部分棧板位","維持現況"))))</x:f>
        <x:v>非本次棧板儲位分析對象</x:v>
      </x:c>
    </x:row>
    <x:row r="22">
      <x:c r="A22" s="24" t="str">
        <x:f>'500件商品'!A22</x:f>
        <x:v>PX0018</x:v>
      </x:c>
      <x:c r="B22" s="24" t="str">
        <x:f>'500件商品'!B22</x:f>
        <x:v>垃圾袋</x:v>
      </x:c>
      <x:c r="C22" s="24" t="str">
        <x:f>'500件商品'!D22</x:f>
        <x:v>Cluster 5</x:v>
      </x:c>
      <x:c r="D22" s="26" t="n">
        <x:f>'500件商品'!F22</x:f>
        <x:v>22</x:v>
      </x:c>
      <x:c r="E22" s="24" t="str">
        <x:f>'500件商品'!K22</x:f>
        <x:v>否</x:v>
      </x:c>
      <x:c r="F22" s="24" t="str">
        <x:f>'500件商品'!L22</x:f>
      </x:c>
      <x:c r="G22" s="28" t="n">
        <x:f>'500件商品'!M22</x:f>
        <x:v>1</x:v>
      </x:c>
      <x:c r="H22" s="24" t="str">
        <x:f>'500件商品'!P22</x:f>
        <x:v>否</x:v>
      </x:c>
      <x:c r="I22" s="26" t="n">
        <x:f>'500件商品'!N22</x:f>
        <x:v>122</x:v>
      </x:c>
      <x:c r="J22" s="26" t="str">
        <x:f>'500件商品'!O22</x:f>
      </x:c>
      <x:c r="K22" s="26" t="n">
        <x:f>IF(H22="是",CEILING(I22/J22,1),0)</x:f>
        <x:v>0</x:v>
      </x:c>
      <x:c r="L22" s="26" t="n">
        <x:f>ROUND(I22*G22,0)</x:f>
        <x:v>122</x:v>
      </x:c>
      <x:c r="M22" s="26" t="n">
        <x:f>IF(H22="是",CEILING(L22/J22,1),0)</x:f>
        <x:v>0</x:v>
      </x:c>
      <x:c r="N22" s="26" t="n">
        <x:f>M22-K22</x:f>
        <x:v>0</x:v>
      </x:c>
      <x:c r="O22" s="24" t="str">
        <x:f>'500件商品'!Q22</x:f>
        <x:v>1區</x:v>
      </x:c>
      <x:c r="P22" s="26" t="n">
        <x:f>'500件商品'!R22</x:f>
        <x:v>18</x:v>
      </x:c>
      <x:c r="Q22" s="24" t="str">
        <x:f>IF(H22="否","非棧板管理",IF(AND(E22="是",N22&gt;0),"季節彈性前移區",IF(OR(C22="Cluster 3",D22&gt;=55),"近端低層棧板區",IF(C22="Cluster 2","中段大貨位",IF(C22="Cluster 4","遠端彈性儲位","中段棧板區")))))</x:f>
        <x:v>非棧板管理</x:v>
      </x:c>
      <x:c r="R22" s="24" t="str">
        <x:f>IF(AND(H22="是",E22="是",N22&gt;0),"是","否")</x:f>
        <x:v>否</x:v>
      </x:c>
      <x:c r="S22" s="24" t="str">
        <x:f>IF(H22="否","非本次棧板儲位分析對象",IF(R22="是","旺季前需前移並增加棧板位",IF(N22&gt;0,"需增加棧板位",IF(N22&lt;0,"可釋放部分棧板位","維持現況"))))</x:f>
        <x:v>非本次棧板儲位分析對象</x:v>
      </x:c>
    </x:row>
    <x:row r="23">
      <x:c r="A23" s="24" t="str">
        <x:f>'500件商品'!A23</x:f>
        <x:v>PX0019</x:v>
      </x:c>
      <x:c r="B23" s="24" t="str">
        <x:f>'500件商品'!B23</x:f>
        <x:v>調味醬油</x:v>
      </x:c>
      <x:c r="C23" s="24" t="str">
        <x:f>'500件商品'!D23</x:f>
        <x:v>Cluster 1</x:v>
      </x:c>
      <x:c r="D23" s="26" t="n">
        <x:f>'500件商品'!F23</x:f>
        <x:v>20</x:v>
      </x:c>
      <x:c r="E23" s="24" t="str">
        <x:f>'500件商品'!K23</x:f>
        <x:v>否</x:v>
      </x:c>
      <x:c r="F23" s="24" t="str">
        <x:f>'500件商品'!L23</x:f>
      </x:c>
      <x:c r="G23" s="28" t="n">
        <x:f>'500件商品'!M23</x:f>
        <x:v>1.1</x:v>
      </x:c>
      <x:c r="H23" s="24" t="str">
        <x:f>'500件商品'!P23</x:f>
        <x:v>是</x:v>
      </x:c>
      <x:c r="I23" s="26" t="n">
        <x:f>'500件商品'!N23</x:f>
        <x:v>133</x:v>
      </x:c>
      <x:c r="J23" s="26" t="n">
        <x:f>'500件商品'!O23</x:f>
        <x:v>80</x:v>
      </x:c>
      <x:c r="K23" s="26" t="n">
        <x:f>IF(H23="是",CEILING(I23/J23,1),0)</x:f>
        <x:v>2</x:v>
      </x:c>
      <x:c r="L23" s="26" t="n">
        <x:f>ROUND(I23*G23,0)</x:f>
        <x:v>146</x:v>
      </x:c>
      <x:c r="M23" s="26" t="n">
        <x:f>IF(H23="是",CEILING(L23/J23,1),0)</x:f>
        <x:v>2</x:v>
      </x:c>
      <x:c r="N23" s="26" t="n">
        <x:f>M23-K23</x:f>
        <x:v>0</x:v>
      </x:c>
      <x:c r="O23" s="24" t="str">
        <x:f>'500件商品'!Q23</x:f>
        <x:v>K區</x:v>
      </x:c>
      <x:c r="P23" s="26" t="n">
        <x:f>'500件商品'!R23</x:f>
        <x:v>45</x:v>
      </x:c>
      <x:c r="Q23" s="24" t="str">
        <x:f>IF(H23="否","非棧板管理",IF(AND(E23="是",N23&gt;0),"季節彈性前移區",IF(OR(C23="Cluster 3",D23&gt;=55),"近端低層棧板區",IF(C23="Cluster 2","中段大貨位",IF(C23="Cluster 4","遠端彈性儲位","中段棧板區")))))</x:f>
        <x:v>中段棧板區</x:v>
      </x:c>
      <x:c r="R23" s="24" t="str">
        <x:f>IF(AND(H23="是",E23="是",N23&gt;0),"是","否")</x:f>
        <x:v>否</x:v>
      </x:c>
      <x:c r="S23" s="24" t="str">
        <x:f>IF(H23="否","非本次棧板儲位分析對象",IF(R23="是","旺季前需前移並增加棧板位",IF(N23&gt;0,"需增加棧板位",IF(N23&lt;0,"可釋放部分棧板位","維持現況"))))</x:f>
        <x:v>維持現況</x:v>
      </x:c>
    </x:row>
    <x:row r="24">
      <x:c r="A24" s="24" t="str">
        <x:f>'500件商品'!A24</x:f>
        <x:v>PX0020</x:v>
      </x:c>
      <x:c r="B24" s="24" t="str">
        <x:f>'500件商品'!B24</x:f>
        <x:v>食用油</x:v>
      </x:c>
      <x:c r="C24" s="24" t="str">
        <x:f>'500件商品'!D24</x:f>
        <x:v>Cluster 1</x:v>
      </x:c>
      <x:c r="D24" s="26" t="n">
        <x:f>'500件商品'!F24</x:f>
        <x:v>18</x:v>
      </x:c>
      <x:c r="E24" s="24" t="str">
        <x:f>'500件商品'!K24</x:f>
        <x:v>否</x:v>
      </x:c>
      <x:c r="F24" s="24" t="str">
        <x:f>'500件商品'!L24</x:f>
      </x:c>
      <x:c r="G24" s="28" t="n">
        <x:f>'500件商品'!M24</x:f>
        <x:v>1</x:v>
      </x:c>
      <x:c r="H24" s="24" t="str">
        <x:f>'500件商品'!P24</x:f>
        <x:v>是</x:v>
      </x:c>
      <x:c r="I24" s="26" t="n">
        <x:f>'500件商品'!N24</x:f>
        <x:v>76</x:v>
      </x:c>
      <x:c r="J24" s="26" t="n">
        <x:f>'500件商品'!O24</x:f>
        <x:v>32</x:v>
      </x:c>
      <x:c r="K24" s="26" t="n">
        <x:f>IF(H24="是",CEILING(I24/J24,1),0)</x:f>
        <x:v>3</x:v>
      </x:c>
      <x:c r="L24" s="26" t="n">
        <x:f>ROUND(I24*G24,0)</x:f>
        <x:v>76</x:v>
      </x:c>
      <x:c r="M24" s="26" t="n">
        <x:f>IF(H24="是",CEILING(L24/J24,1),0)</x:f>
        <x:v>3</x:v>
      </x:c>
      <x:c r="N24" s="26" t="n">
        <x:f>M24-K24</x:f>
        <x:v>0</x:v>
      </x:c>
      <x:c r="O24" s="24" t="str">
        <x:f>'500件商品'!Q24</x:f>
        <x:v>K區</x:v>
      </x:c>
      <x:c r="P24" s="26" t="n">
        <x:f>'500件商品'!R24</x:f>
        <x:v>48</x:v>
      </x:c>
      <x:c r="Q24" s="24" t="str">
        <x:f>IF(H24="否","非棧板管理",IF(AND(E24="是",N24&gt;0),"季節彈性前移區",IF(OR(C24="Cluster 3",D24&gt;=55),"近端低層棧板區",IF(C24="Cluster 2","中段大貨位",IF(C24="Cluster 4","遠端彈性儲位","中段棧板區")))))</x:f>
        <x:v>中段棧板區</x:v>
      </x:c>
      <x:c r="R24" s="24" t="str">
        <x:f>IF(AND(H24="是",E24="是",N24&gt;0),"是","否")</x:f>
        <x:v>否</x:v>
      </x:c>
      <x:c r="S24" s="24" t="str">
        <x:f>IF(H24="否","非本次棧板儲位分析對象",IF(R24="是","旺季前需前移並增加棧板位",IF(N24&gt;0,"需增加棧板位",IF(N24&lt;0,"可釋放部分棧板位","維持現況"))))</x:f>
        <x:v>維持現況</x:v>
      </x:c>
    </x:row>
    <x:row r="25">
      <x:c r="A25" s="24" t="str">
        <x:f>'500件商品'!A25</x:f>
        <x:v>PX0021</x:v>
      </x:c>
      <x:c r="B25" s="24" t="str">
        <x:f>'500件商品'!B25</x:f>
        <x:v>季節禮盒</x:v>
      </x:c>
      <x:c r="C25" s="24" t="str">
        <x:f>'500件商品'!D25</x:f>
        <x:v>Cluster 4</x:v>
      </x:c>
      <x:c r="D25" s="26" t="n">
        <x:f>'500件商品'!F25</x:f>
        <x:v>14</x:v>
      </x:c>
      <x:c r="E25" s="24" t="str">
        <x:f>'500件商品'!K25</x:f>
        <x:v>是</x:v>
      </x:c>
      <x:c r="F25" s="24" t="str">
        <x:f>'500件商品'!L25</x:f>
        <x:v>1-2月</x:v>
      </x:c>
      <x:c r="G25" s="28" t="n">
        <x:f>'500件商品'!M25</x:f>
        <x:v>3</x:v>
      </x:c>
      <x:c r="H25" s="24" t="str">
        <x:f>'500件商品'!P25</x:f>
        <x:v>是</x:v>
      </x:c>
      <x:c r="I25" s="26" t="n">
        <x:f>'500件商品'!N25</x:f>
        <x:v>106</x:v>
      </x:c>
      <x:c r="J25" s="26" t="n">
        <x:f>'500件商品'!O25</x:f>
        <x:v>20</x:v>
      </x:c>
      <x:c r="K25" s="26" t="n">
        <x:f>IF(H25="是",CEILING(I25/J25,1),0)</x:f>
        <x:v>6</x:v>
      </x:c>
      <x:c r="L25" s="26" t="n">
        <x:f>ROUND(I25*G25,0)</x:f>
        <x:v>318</x:v>
      </x:c>
      <x:c r="M25" s="26" t="n">
        <x:f>IF(H25="是",CEILING(L25/J25,1),0)</x:f>
        <x:v>16</x:v>
      </x:c>
      <x:c r="N25" s="26" t="n">
        <x:f>M25-K25</x:f>
        <x:v>10</x:v>
      </x:c>
      <x:c r="O25" s="24" t="str">
        <x:f>'500件商品'!Q25</x:f>
        <x:v>A區</x:v>
      </x:c>
      <x:c r="P25" s="26" t="n">
        <x:f>'500件商品'!R25</x:f>
        <x:v>50</x:v>
      </x:c>
      <x:c r="Q25" s="24" t="str">
        <x:f>IF(H25="否","非棧板管理",IF(AND(E25="是",N25&gt;0),"季節彈性前移區",IF(OR(C25="Cluster 3",D25&gt;=55),"近端低層棧板區",IF(C25="Cluster 2","中段大貨位",IF(C25="Cluster 4","遠端彈性儲位","中段棧板區")))))</x:f>
        <x:v>季節彈性前移區</x:v>
      </x:c>
      <x:c r="R25" s="24" t="str">
        <x:f>IF(AND(H25="是",E25="是",N25&gt;0),"是","否")</x:f>
        <x:v>是</x:v>
      </x:c>
      <x:c r="S25" s="24" t="str">
        <x:f>IF(H25="否","非本次棧板儲位分析對象",IF(R25="是","旺季前需前移並增加棧板位",IF(N25&gt;0,"需增加棧板位",IF(N25&lt;0,"可釋放部分棧板位","維持現況"))))</x:f>
        <x:v>旺季前需前移並增加棧板位</x:v>
      </x:c>
    </x:row>
    <x:row r="26">
      <x:c r="A26" s="24" t="str">
        <x:f>'500件商品'!A26</x:f>
        <x:v>PX0022</x:v>
      </x:c>
      <x:c r="B26" s="24" t="str">
        <x:f>'500件商品'!B26</x:f>
        <x:v>防蚊用品</x:v>
      </x:c>
      <x:c r="C26" s="24" t="str">
        <x:f>'500件商品'!D26</x:f>
        <x:v>Cluster 4</x:v>
      </x:c>
      <x:c r="D26" s="26" t="n">
        <x:f>'500件商品'!F26</x:f>
        <x:v>12</x:v>
      </x:c>
      <x:c r="E26" s="24" t="str">
        <x:f>'500件商品'!K26</x:f>
        <x:v>是</x:v>
      </x:c>
      <x:c r="F26" s="24" t="str">
        <x:f>'500件商品'!L26</x:f>
        <x:v>5-8月</x:v>
      </x:c>
      <x:c r="G26" s="28" t="n">
        <x:f>'500件商品'!M26</x:f>
        <x:v>2.5</x:v>
      </x:c>
      <x:c r="H26" s="24" t="str">
        <x:f>'500件商品'!P26</x:f>
        <x:v>否</x:v>
      </x:c>
      <x:c r="I26" s="26" t="n">
        <x:f>'500件商品'!N26</x:f>
        <x:v>51</x:v>
      </x:c>
      <x:c r="J26" s="26" t="str">
        <x:f>'500件商品'!O26</x:f>
      </x:c>
      <x:c r="K26" s="26" t="n">
        <x:f>IF(H26="是",CEILING(I26/J26,1),0)</x:f>
        <x:v>0</x:v>
      </x:c>
      <x:c r="L26" s="26" t="n">
        <x:f>ROUND(I26*G26,0)</x:f>
        <x:v>128</x:v>
      </x:c>
      <x:c r="M26" s="26" t="n">
        <x:f>IF(H26="是",CEILING(L26/J26,1),0)</x:f>
        <x:v>0</x:v>
      </x:c>
      <x:c r="N26" s="26" t="n">
        <x:f>M26-K26</x:f>
        <x:v>0</x:v>
      </x:c>
      <x:c r="O26" s="24" t="str">
        <x:f>'500件商品'!Q26</x:f>
        <x:v>1區</x:v>
      </x:c>
      <x:c r="P26" s="26" t="n">
        <x:f>'500件商品'!R26</x:f>
        <x:v>52</x:v>
      </x:c>
      <x:c r="Q26" s="24" t="str">
        <x:f>IF(H26="否","非棧板管理",IF(AND(E26="是",N26&gt;0),"季節彈性前移區",IF(OR(C26="Cluster 3",D26&gt;=55),"近端低層棧板區",IF(C26="Cluster 2","中段大貨位",IF(C26="Cluster 4","遠端彈性儲位","中段棧板區")))))</x:f>
        <x:v>非棧板管理</x:v>
      </x:c>
      <x:c r="R26" s="24" t="str">
        <x:f>IF(AND(H26="是",E26="是",N26&gt;0),"是","否")</x:f>
        <x:v>否</x:v>
      </x:c>
      <x:c r="S26" s="24" t="str">
        <x:f>IF(H26="否","非本次棧板儲位分析對象",IF(R26="是","旺季前需前移並增加棧板位",IF(N26&gt;0,"需增加棧板位",IF(N26&lt;0,"可釋放部分棧板位","維持現況"))))</x:f>
        <x:v>非本次棧板儲位分析對象</x:v>
      </x:c>
    </x:row>
    <x:row r="27">
      <x:c r="A27" s="24" t="str">
        <x:f>'500件商品'!A27</x:f>
        <x:v>PX0023</x:v>
      </x:c>
      <x:c r="B27" s="24" t="str">
        <x:f>'500件商品'!B27</x:f>
        <x:v>保鮮盒</x:v>
      </x:c>
      <x:c r="C27" s="24" t="str">
        <x:f>'500件商品'!D27</x:f>
        <x:v>Cluster 5</x:v>
      </x:c>
      <x:c r="D27" s="26" t="n">
        <x:f>'500件商品'!F27</x:f>
        <x:v>10</x:v>
      </x:c>
      <x:c r="E27" s="24" t="str">
        <x:f>'500件商品'!K27</x:f>
        <x:v>否</x:v>
      </x:c>
      <x:c r="F27" s="24" t="str">
        <x:f>'500件商品'!L27</x:f>
      </x:c>
      <x:c r="G27" s="28" t="n">
        <x:f>'500件商品'!M27</x:f>
        <x:v>1</x:v>
      </x:c>
      <x:c r="H27" s="24" t="str">
        <x:f>'500件商品'!P27</x:f>
        <x:v>否</x:v>
      </x:c>
      <x:c r="I27" s="26" t="n">
        <x:f>'500件商品'!N27</x:f>
        <x:v>51</x:v>
      </x:c>
      <x:c r="J27" s="26" t="str">
        <x:f>'500件商品'!O27</x:f>
      </x:c>
      <x:c r="K27" s="26" t="n">
        <x:f>IF(H27="是",CEILING(I27/J27,1),0)</x:f>
        <x:v>0</x:v>
      </x:c>
      <x:c r="L27" s="26" t="n">
        <x:f>ROUND(I27*G27,0)</x:f>
        <x:v>51</x:v>
      </x:c>
      <x:c r="M27" s="26" t="n">
        <x:f>IF(H27="是",CEILING(L27/J27,1),0)</x:f>
        <x:v>0</x:v>
      </x:c>
      <x:c r="N27" s="26" t="n">
        <x:f>M27-K27</x:f>
        <x:v>0</x:v>
      </x:c>
      <x:c r="O27" s="24" t="str">
        <x:f>'500件商品'!Q27</x:f>
        <x:v>A區</x:v>
      </x:c>
      <x:c r="P27" s="26" t="n">
        <x:f>'500件商品'!R27</x:f>
        <x:v>55</x:v>
      </x:c>
      <x:c r="Q27" s="24" t="str">
        <x:f>IF(H27="否","非棧板管理",IF(AND(E27="是",N27&gt;0),"季節彈性前移區",IF(OR(C27="Cluster 3",D27&gt;=55),"近端低層棧板區",IF(C27="Cluster 2","中段大貨位",IF(C27="Cluster 4","遠端彈性儲位","中段棧板區")))))</x:f>
        <x:v>非棧板管理</x:v>
      </x:c>
      <x:c r="R27" s="24" t="str">
        <x:f>IF(AND(H27="是",E27="是",N27&gt;0),"是","否")</x:f>
        <x:v>否</x:v>
      </x:c>
      <x:c r="S27" s="24" t="str">
        <x:f>IF(H27="否","非本次棧板儲位分析對象",IF(R27="是","旺季前需前移並增加棧板位",IF(N27&gt;0,"需增加棧板位",IF(N27&lt;0,"可釋放部分棧板位","維持現況"))))</x:f>
        <x:v>非本次棧板儲位分析對象</x:v>
      </x:c>
    </x:row>
    <x:row r="28">
      <x:c r="A28" s="24" t="str">
        <x:f>'500件商品'!A28</x:f>
        <x:v>PX0024</x:v>
      </x:c>
      <x:c r="B28" s="24" t="str">
        <x:f>'500件商品'!B28</x:f>
        <x:v>收納箱</x:v>
      </x:c>
      <x:c r="C28" s="24" t="str">
        <x:f>'500件商品'!D28</x:f>
        <x:v>Cluster 2</x:v>
      </x:c>
      <x:c r="D28" s="26" t="n">
        <x:f>'500件商品'!F28</x:f>
        <x:v>8</x:v>
      </x:c>
      <x:c r="E28" s="24" t="str">
        <x:f>'500件商品'!K28</x:f>
        <x:v>否</x:v>
      </x:c>
      <x:c r="F28" s="24" t="str">
        <x:f>'500件商品'!L28</x:f>
      </x:c>
      <x:c r="G28" s="28" t="n">
        <x:f>'500件商品'!M28</x:f>
        <x:v>1</x:v>
      </x:c>
      <x:c r="H28" s="24" t="str">
        <x:f>'500件商品'!P28</x:f>
        <x:v>是</x:v>
      </x:c>
      <x:c r="I28" s="26" t="n">
        <x:f>'500件商品'!N28</x:f>
        <x:v>49</x:v>
      </x:c>
      <x:c r="J28" s="26" t="n">
        <x:f>'500件商品'!O28</x:f>
        <x:v>18</x:v>
      </x:c>
      <x:c r="K28" s="26" t="n">
        <x:f>IF(H28="是",CEILING(I28/J28,1),0)</x:f>
        <x:v>3</x:v>
      </x:c>
      <x:c r="L28" s="26" t="n">
        <x:f>ROUND(I28*G28,0)</x:f>
        <x:v>49</x:v>
      </x:c>
      <x:c r="M28" s="26" t="n">
        <x:f>IF(H28="是",CEILING(L28/J28,1),0)</x:f>
        <x:v>3</x:v>
      </x:c>
      <x:c r="N28" s="26" t="n">
        <x:f>M28-K28</x:f>
        <x:v>0</x:v>
      </x:c>
      <x:c r="O28" s="24" t="str">
        <x:f>'500件商品'!Q28</x:f>
        <x:v>A區</x:v>
      </x:c>
      <x:c r="P28" s="26" t="n">
        <x:f>'500件商品'!R28</x:f>
        <x:v>58</x:v>
      </x:c>
      <x:c r="Q28" s="24" t="str">
        <x:f>IF(H28="否","非棧板管理",IF(AND(E28="是",N28&gt;0),"季節彈性前移區",IF(OR(C28="Cluster 3",D28&gt;=55),"近端低層棧板區",IF(C28="Cluster 2","中段大貨位",IF(C28="Cluster 4","遠端彈性儲位","中段棧板區")))))</x:f>
        <x:v>中段大貨位</x:v>
      </x:c>
      <x:c r="R28" s="24" t="str">
        <x:f>IF(AND(H28="是",E28="是",N28&gt;0),"是","否")</x:f>
        <x:v>否</x:v>
      </x:c>
      <x:c r="S28" s="24" t="str">
        <x:f>IF(H28="否","非本次棧板儲位分析對象",IF(R28="是","旺季前需前移並增加棧板位",IF(N28&gt;0,"需增加棧板位",IF(N28&lt;0,"可釋放部分棧板位","維持現況"))))</x:f>
        <x:v>維持現況</x:v>
      </x:c>
    </x:row>
    <x:row r="29">
      <x:c r="A29" s="24" t="str">
        <x:f>'500件商品'!A29</x:f>
        <x:v>PX0025</x:v>
      </x:c>
      <x:c r="B29" s="24" t="str">
        <x:f>'500件商品'!B29</x:f>
        <x:v>備用耗材</x:v>
      </x:c>
      <x:c r="C29" s="24" t="str">
        <x:f>'500件商品'!D29</x:f>
        <x:v>Cluster 5</x:v>
      </x:c>
      <x:c r="D29" s="26" t="n">
        <x:f>'500件商品'!F29</x:f>
        <x:v>5</x:v>
      </x:c>
      <x:c r="E29" s="24" t="str">
        <x:f>'500件商品'!K29</x:f>
        <x:v>否</x:v>
      </x:c>
      <x:c r="F29" s="24" t="str">
        <x:f>'500件商品'!L29</x:f>
      </x:c>
      <x:c r="G29" s="28" t="n">
        <x:f>'500件商品'!M29</x:f>
        <x:v>1</x:v>
      </x:c>
      <x:c r="H29" s="24" t="str">
        <x:f>'500件商品'!P29</x:f>
        <x:v>否</x:v>
      </x:c>
      <x:c r="I29" s="26" t="n">
        <x:f>'500件商品'!N29</x:f>
        <x:v>27</x:v>
      </x:c>
      <x:c r="J29" s="26" t="str">
        <x:f>'500件商品'!O29</x:f>
      </x:c>
      <x:c r="K29" s="26" t="n">
        <x:f>IF(H29="是",CEILING(I29/J29,1),0)</x:f>
        <x:v>0</x:v>
      </x:c>
      <x:c r="L29" s="26" t="n">
        <x:f>ROUND(I29*G29,0)</x:f>
        <x:v>27</x:v>
      </x:c>
      <x:c r="M29" s="26" t="n">
        <x:f>IF(H29="是",CEILING(L29/J29,1),0)</x:f>
        <x:v>0</x:v>
      </x:c>
      <x:c r="N29" s="26" t="n">
        <x:f>M29-K29</x:f>
        <x:v>0</x:v>
      </x:c>
      <x:c r="O29" s="24" t="str">
        <x:f>'500件商品'!Q29</x:f>
        <x:v>K區</x:v>
      </x:c>
      <x:c r="P29" s="26" t="n">
        <x:f>'500件商品'!R29</x:f>
        <x:v>60</x:v>
      </x:c>
      <x:c r="Q29" s="24" t="str">
        <x:f>IF(H29="否","非棧板管理",IF(AND(E29="是",N29&gt;0),"季節彈性前移區",IF(OR(C29="Cluster 3",D29&gt;=55),"近端低層棧板區",IF(C29="Cluster 2","中段大貨位",IF(C29="Cluster 4","遠端彈性儲位","中段棧板區")))))</x:f>
        <x:v>非棧板管理</x:v>
      </x:c>
      <x:c r="R29" s="24" t="str">
        <x:f>IF(AND(H29="是",E29="是",N29&gt;0),"是","否")</x:f>
        <x:v>否</x:v>
      </x:c>
      <x:c r="S29" s="24" t="str">
        <x:f>IF(H29="否","非本次棧板儲位分析對象",IF(R29="是","旺季前需前移並增加棧板位",IF(N29&gt;0,"需增加棧板位",IF(N29&lt;0,"可釋放部分棧板位","維持現況"))))</x:f>
        <x:v>非本次棧板儲位分析對象</x:v>
      </x:c>
    </x:row>
    <x:row r="30">
      <x:c r="A30" s="24" t="str">
        <x:f>'500件商品'!A30</x:f>
        <x:v>PX0026</x:v>
      </x:c>
      <x:c r="B30" s="24" t="str">
        <x:f>'500件商品'!B30</x:f>
        <x:v>尿布箱</x:v>
      </x:c>
      <x:c r="C30" s="24" t="str">
        <x:f>'500件商品'!D30</x:f>
        <x:v>Cluster 2</x:v>
      </x:c>
      <x:c r="D30" s="26" t="n">
        <x:f>'500件商品'!F30</x:f>
        <x:v>60</x:v>
      </x:c>
      <x:c r="E30" s="24" t="str">
        <x:f>'500件商品'!K30</x:f>
        <x:v>否</x:v>
      </x:c>
      <x:c r="F30" s="24" t="str">
        <x:f>'500件商品'!L30</x:f>
      </x:c>
      <x:c r="G30" s="28" t="n">
        <x:f>'500件商品'!M30</x:f>
        <x:v>1.1</x:v>
      </x:c>
      <x:c r="H30" s="24" t="str">
        <x:f>'500件商品'!P30</x:f>
        <x:v>是</x:v>
      </x:c>
      <x:c r="I30" s="26" t="n">
        <x:f>'500件商品'!N30</x:f>
        <x:v>337</x:v>
      </x:c>
      <x:c r="J30" s="26" t="n">
        <x:f>'500件商品'!O30</x:f>
        <x:v>24</x:v>
      </x:c>
      <x:c r="K30" s="26" t="n">
        <x:f>IF(H30="是",CEILING(I30/J30,1),0)</x:f>
        <x:v>15</x:v>
      </x:c>
      <x:c r="L30" s="26" t="n">
        <x:f>ROUND(I30*G30,0)</x:f>
        <x:v>371</x:v>
      </x:c>
      <x:c r="M30" s="26" t="n">
        <x:f>IF(H30="是",CEILING(L30/J30,1),0)</x:f>
        <x:v>16</x:v>
      </x:c>
      <x:c r="N30" s="26" t="n">
        <x:f>M30-K30</x:f>
        <x:v>1</x:v>
      </x:c>
      <x:c r="O30" s="24" t="str">
        <x:f>'500件商品'!Q30</x:f>
        <x:v>A區</x:v>
      </x:c>
      <x:c r="P30" s="26" t="n">
        <x:f>'500件商品'!R30</x:f>
        <x:v>44</x:v>
      </x:c>
      <x:c r="Q30" s="24" t="str">
        <x:f>IF(H30="否","非棧板管理",IF(AND(E30="是",N30&gt;0),"季節彈性前移區",IF(OR(C30="Cluster 3",D30&gt;=55),"近端低層棧板區",IF(C30="Cluster 2","中段大貨位",IF(C30="Cluster 4","遠端彈性儲位","中段棧板區")))))</x:f>
        <x:v>近端低層棧板區</x:v>
      </x:c>
      <x:c r="R30" s="24" t="str">
        <x:f>IF(AND(H30="是",E30="是",N30&gt;0),"是","否")</x:f>
        <x:v>否</x:v>
      </x:c>
      <x:c r="S30" s="24" t="str">
        <x:f>IF(H30="否","非本次棧板儲位分析對象",IF(R30="是","旺季前需前移並增加棧板位",IF(N30&gt;0,"需增加棧板位",IF(N30&lt;0,"可釋放部分棧板位","維持現況"))))</x:f>
        <x:v>需增加棧板位</x:v>
      </x:c>
    </x:row>
    <x:row r="31">
      <x:c r="A31" s="24" t="str">
        <x:f>'500件商品'!A31</x:f>
        <x:v>PX0027</x:v>
      </x:c>
      <x:c r="B31" s="24" t="str">
        <x:f>'500件商品'!B31</x:f>
        <x:v>咖啡罐裝整箱</x:v>
      </x:c>
      <x:c r="C31" s="24" t="str">
        <x:f>'500件商品'!D31</x:f>
        <x:v>Cluster 2</x:v>
      </x:c>
      <x:c r="D31" s="26" t="n">
        <x:f>'500件商品'!F31</x:f>
        <x:v>52</x:v>
      </x:c>
      <x:c r="E31" s="24" t="str">
        <x:f>'500件商品'!K31</x:f>
        <x:v>否</x:v>
      </x:c>
      <x:c r="F31" s="24" t="str">
        <x:f>'500件商品'!L31</x:f>
      </x:c>
      <x:c r="G31" s="28" t="n">
        <x:f>'500件商品'!M31</x:f>
        <x:v>1.1</x:v>
      </x:c>
      <x:c r="H31" s="24" t="str">
        <x:f>'500件商品'!P31</x:f>
        <x:v>是</x:v>
      </x:c>
      <x:c r="I31" s="26" t="n">
        <x:f>'500件商品'!N31</x:f>
        <x:v>305</x:v>
      </x:c>
      <x:c r="J31" s="26" t="n">
        <x:f>'500件商品'!O31</x:f>
        <x:v>32</x:v>
      </x:c>
      <x:c r="K31" s="26" t="n">
        <x:f>IF(H31="是",CEILING(I31/J31,1),0)</x:f>
        <x:v>10</x:v>
      </x:c>
      <x:c r="L31" s="26" t="n">
        <x:f>ROUND(I31*G31,0)</x:f>
        <x:v>336</x:v>
      </x:c>
      <x:c r="M31" s="26" t="n">
        <x:f>IF(H31="是",CEILING(L31/J31,1),0)</x:f>
        <x:v>11</x:v>
      </x:c>
      <x:c r="N31" s="26" t="n">
        <x:f>M31-K31</x:f>
        <x:v>1</x:v>
      </x:c>
      <x:c r="O31" s="24" t="str">
        <x:f>'500件商品'!Q31</x:f>
        <x:v>K區</x:v>
      </x:c>
      <x:c r="P31" s="26" t="n">
        <x:f>'500件商品'!R31</x:f>
        <x:v>46</x:v>
      </x:c>
      <x:c r="Q31" s="24" t="str">
        <x:f>IF(H31="否","非棧板管理",IF(AND(E31="是",N31&gt;0),"季節彈性前移區",IF(OR(C31="Cluster 3",D31&gt;=55),"近端低層棧板區",IF(C31="Cluster 2","中段大貨位",IF(C31="Cluster 4","遠端彈性儲位","中段棧板區")))))</x:f>
        <x:v>中段大貨位</x:v>
      </x:c>
      <x:c r="R31" s="24" t="str">
        <x:f>IF(AND(H31="是",E31="是",N31&gt;0),"是","否")</x:f>
        <x:v>否</x:v>
      </x:c>
      <x:c r="S31" s="24" t="str">
        <x:f>IF(H31="否","非本次棧板儲位分析對象",IF(R31="是","旺季前需前移並增加棧板位",IF(N31&gt;0,"需增加棧板位",IF(N31&lt;0,"可釋放部分棧板位","維持現況"))))</x:f>
        <x:v>需增加棧板位</x:v>
      </x:c>
    </x:row>
    <x:row r="32">
      <x:c r="A32" s="24" t="str">
        <x:f>'500件商品'!A32</x:f>
        <x:v>PX0028</x:v>
      </x:c>
      <x:c r="B32" s="24" t="str">
        <x:f>'500件商品'!B32</x:f>
        <x:v>麥片箱</x:v>
      </x:c>
      <x:c r="C32" s="24" t="str">
        <x:f>'500件商品'!D32</x:f>
        <x:v>Cluster 5</x:v>
      </x:c>
      <x:c r="D32" s="26" t="n">
        <x:f>'500件商品'!F32</x:f>
        <x:v>48</x:v>
      </x:c>
      <x:c r="E32" s="24" t="str">
        <x:f>'500件商品'!K32</x:f>
        <x:v>否</x:v>
      </x:c>
      <x:c r="F32" s="24" t="str">
        <x:f>'500件商品'!L32</x:f>
      </x:c>
      <x:c r="G32" s="28" t="n">
        <x:f>'500件商品'!M32</x:f>
        <x:v>1.1</x:v>
      </x:c>
      <x:c r="H32" s="24" t="str">
        <x:f>'500件商品'!P32</x:f>
        <x:v>是</x:v>
      </x:c>
      <x:c r="I32" s="26" t="n">
        <x:f>'500件商品'!N32</x:f>
        <x:v>181</x:v>
      </x:c>
      <x:c r="J32" s="26" t="n">
        <x:f>'500件商品'!O32</x:f>
        <x:v>72</x:v>
      </x:c>
      <x:c r="K32" s="26" t="n">
        <x:f>IF(H32="是",CEILING(I32/J32,1),0)</x:f>
        <x:v>3</x:v>
      </x:c>
      <x:c r="L32" s="26" t="n">
        <x:f>ROUND(I32*G32,0)</x:f>
        <x:v>199</x:v>
      </x:c>
      <x:c r="M32" s="26" t="n">
        <x:f>IF(H32="是",CEILING(L32/J32,1),0)</x:f>
        <x:v>3</x:v>
      </x:c>
      <x:c r="N32" s="26" t="n">
        <x:f>M32-K32</x:f>
        <x:v>0</x:v>
      </x:c>
      <x:c r="O32" s="24" t="str">
        <x:f>'500件商品'!Q32</x:f>
        <x:v>1區</x:v>
      </x:c>
      <x:c r="P32" s="26" t="n">
        <x:f>'500件商品'!R32</x:f>
        <x:v>33</x:v>
      </x:c>
      <x:c r="Q32" s="24" t="str">
        <x:f>IF(H32="否","非棧板管理",IF(AND(E32="是",N32&gt;0),"季節彈性前移區",IF(OR(C32="Cluster 3",D32&gt;=55),"近端低層棧板區",IF(C32="Cluster 2","中段大貨位",IF(C32="Cluster 4","遠端彈性儲位","中段棧板區")))))</x:f>
        <x:v>中段棧板區</x:v>
      </x:c>
      <x:c r="R32" s="24" t="str">
        <x:f>IF(AND(H32="是",E32="是",N32&gt;0),"是","否")</x:f>
        <x:v>否</x:v>
      </x:c>
      <x:c r="S32" s="24" t="str">
        <x:f>IF(H32="否","非本次棧板儲位分析對象",IF(R32="是","旺季前需前移並增加棧板位",IF(N32&gt;0,"需增加棧板位",IF(N32&lt;0,"可釋放部分棧板位","維持現況"))))</x:f>
        <x:v>維持現況</x:v>
      </x:c>
    </x:row>
    <x:row r="33">
      <x:c r="A33" s="24" t="str">
        <x:f>'500件商品'!A33</x:f>
        <x:v>PX0029</x:v>
      </x:c>
      <x:c r="B33" s="24" t="str">
        <x:f>'500件商品'!B33</x:f>
        <x:v>寵物飼料5kg</x:v>
      </x:c>
      <x:c r="C33" s="24" t="str">
        <x:f>'500件商品'!D33</x:f>
        <x:v>Cluster 2</x:v>
      </x:c>
      <x:c r="D33" s="26" t="n">
        <x:f>'500件商品'!F33</x:f>
        <x:v>44</x:v>
      </x:c>
      <x:c r="E33" s="24" t="str">
        <x:f>'500件商品'!K33</x:f>
        <x:v>否</x:v>
      </x:c>
      <x:c r="F33" s="24" t="str">
        <x:f>'500件商品'!L33</x:f>
      </x:c>
      <x:c r="G33" s="28" t="n">
        <x:f>'500件商品'!M33</x:f>
        <x:v>1.1</x:v>
      </x:c>
      <x:c r="H33" s="24" t="str">
        <x:f>'500件商品'!P33</x:f>
        <x:v>是</x:v>
      </x:c>
      <x:c r="I33" s="26" t="n">
        <x:f>'500件商品'!N33</x:f>
        <x:v>157</x:v>
      </x:c>
      <x:c r="J33" s="26" t="n">
        <x:f>'500件商品'!O33</x:f>
        <x:v>48</x:v>
      </x:c>
      <x:c r="K33" s="26" t="n">
        <x:f>IF(H33="是",CEILING(I33/J33,1),0)</x:f>
        <x:v>4</x:v>
      </x:c>
      <x:c r="L33" s="26" t="n">
        <x:f>ROUND(I33*G33,0)</x:f>
        <x:v>173</x:v>
      </x:c>
      <x:c r="M33" s="26" t="n">
        <x:f>IF(H33="是",CEILING(L33/J33,1),0)</x:f>
        <x:v>4</x:v>
      </x:c>
      <x:c r="N33" s="26" t="n">
        <x:f>M33-K33</x:f>
        <x:v>0</x:v>
      </x:c>
      <x:c r="O33" s="24" t="str">
        <x:f>'500件商品'!Q33</x:f>
        <x:v>K區</x:v>
      </x:c>
      <x:c r="P33" s="26" t="n">
        <x:f>'500件商品'!R33</x:f>
        <x:v>49</x:v>
      </x:c>
      <x:c r="Q33" s="24" t="str">
        <x:f>IF(H33="否","非棧板管理",IF(AND(E33="是",N33&gt;0),"季節彈性前移區",IF(OR(C33="Cluster 3",D33&gt;=55),"近端低層棧板區",IF(C33="Cluster 2","中段大貨位",IF(C33="Cluster 4","遠端彈性儲位","中段棧板區")))))</x:f>
        <x:v>中段大貨位</x:v>
      </x:c>
      <x:c r="R33" s="24" t="str">
        <x:f>IF(AND(H33="是",E33="是",N33&gt;0),"是","否")</x:f>
        <x:v>否</x:v>
      </x:c>
      <x:c r="S33" s="24" t="str">
        <x:f>IF(H33="否","非本次棧板儲位分析對象",IF(R33="是","旺季前需前移並增加棧板位",IF(N33&gt;0,"需增加棧板位",IF(N33&lt;0,"可釋放部分棧板位","維持現況"))))</x:f>
        <x:v>維持現況</x:v>
      </x:c>
    </x:row>
    <x:row r="34">
      <x:c r="A34" s="24" t="str">
        <x:f>'500件商品'!A34</x:f>
        <x:v>PX0030</x:v>
      </x:c>
      <x:c r="B34" s="24" t="str">
        <x:f>'500件商品'!B34</x:f>
        <x:v>衛生棉組</x:v>
      </x:c>
      <x:c r="C34" s="24" t="str">
        <x:f>'500件商品'!D34</x:f>
        <x:v>Cluster 5</x:v>
      </x:c>
      <x:c r="D34" s="26" t="n">
        <x:f>'500件商品'!F34</x:f>
        <x:v>40</x:v>
      </x:c>
      <x:c r="E34" s="24" t="str">
        <x:f>'500件商品'!K34</x:f>
        <x:v>否</x:v>
      </x:c>
      <x:c r="F34" s="24" t="str">
        <x:f>'500件商品'!L34</x:f>
      </x:c>
      <x:c r="G34" s="28" t="n">
        <x:f>'500件商品'!M34</x:f>
        <x:v>1</x:v>
      </x:c>
      <x:c r="H34" s="24" t="str">
        <x:f>'500件商品'!P34</x:f>
        <x:v>是</x:v>
      </x:c>
      <x:c r="I34" s="26" t="n">
        <x:f>'500件商品'!N34</x:f>
        <x:v>278</x:v>
      </x:c>
      <x:c r="J34" s="26" t="n">
        <x:f>'500件商品'!O34</x:f>
        <x:v>60</x:v>
      </x:c>
      <x:c r="K34" s="26" t="n">
        <x:f>IF(H34="是",CEILING(I34/J34,1),0)</x:f>
        <x:v>5</x:v>
      </x:c>
      <x:c r="L34" s="26" t="n">
        <x:f>ROUND(I34*G34,0)</x:f>
        <x:v>278</x:v>
      </x:c>
      <x:c r="M34" s="26" t="n">
        <x:f>IF(H34="是",CEILING(L34/J34,1),0)</x:f>
        <x:v>5</x:v>
      </x:c>
      <x:c r="N34" s="26" t="n">
        <x:f>M34-K34</x:f>
        <x:v>0</x:v>
      </x:c>
      <x:c r="O34" s="24" t="str">
        <x:f>'500件商品'!Q34</x:f>
        <x:v>A區</x:v>
      </x:c>
      <x:c r="P34" s="26" t="n">
        <x:f>'500件商品'!R34</x:f>
        <x:v>24</x:v>
      </x:c>
      <x:c r="Q34" s="24" t="str">
        <x:f>IF(H34="否","非棧板管理",IF(AND(E34="是",N34&gt;0),"季節彈性前移區",IF(OR(C34="Cluster 3",D34&gt;=55),"近端低層棧板區",IF(C34="Cluster 2","中段大貨位",IF(C34="Cluster 4","遠端彈性儲位","中段棧板區")))))</x:f>
        <x:v>中段棧板區</x:v>
      </x:c>
      <x:c r="R34" s="24" t="str">
        <x:f>IF(AND(H34="是",E34="是",N34&gt;0),"是","否")</x:f>
        <x:v>否</x:v>
      </x:c>
      <x:c r="S34" s="24" t="str">
        <x:f>IF(H34="否","非本次棧板儲位分析對象",IF(R34="是","旺季前需前移並增加棧板位",IF(N34&gt;0,"需增加棧板位",IF(N34&lt;0,"可釋放部分棧板位","維持現況"))))</x:f>
        <x:v>維持現況</x:v>
      </x:c>
    </x:row>
    <x:row r="35">
      <x:c r="A35" s="24" t="str">
        <x:f>'500件商品'!A35</x:f>
        <x:v>PX0031</x:v>
      </x:c>
      <x:c r="B35" s="24" t="str">
        <x:f>'500件商品'!B35</x:f>
        <x:v>漂白水</x:v>
      </x:c>
      <x:c r="C35" s="24" t="str">
        <x:f>'500件商品'!D35</x:f>
        <x:v>Cluster 1</x:v>
      </x:c>
      <x:c r="D35" s="26" t="n">
        <x:f>'500件商品'!F35</x:f>
        <x:v>38</x:v>
      </x:c>
      <x:c r="E35" s="24" t="str">
        <x:f>'500件商品'!K35</x:f>
        <x:v>否</x:v>
      </x:c>
      <x:c r="F35" s="24" t="str">
        <x:f>'500件商品'!L35</x:f>
      </x:c>
      <x:c r="G35" s="28" t="n">
        <x:f>'500件商品'!M35</x:f>
        <x:v>1.5</x:v>
      </x:c>
      <x:c r="H35" s="24" t="str">
        <x:f>'500件商品'!P35</x:f>
        <x:v>是</x:v>
      </x:c>
      <x:c r="I35" s="26" t="n">
        <x:f>'500件商品'!N35</x:f>
        <x:v>139</x:v>
      </x:c>
      <x:c r="J35" s="26" t="n">
        <x:f>'500件商品'!O35</x:f>
        <x:v>72</x:v>
      </x:c>
      <x:c r="K35" s="26" t="n">
        <x:f>IF(H35="是",CEILING(I35/J35,1),0)</x:f>
        <x:v>2</x:v>
      </x:c>
      <x:c r="L35" s="26" t="n">
        <x:f>ROUND(I35*G35,0)</x:f>
        <x:v>209</x:v>
      </x:c>
      <x:c r="M35" s="26" t="n">
        <x:f>IF(H35="是",CEILING(L35/J35,1),0)</x:f>
        <x:v>3</x:v>
      </x:c>
      <x:c r="N35" s="26" t="n">
        <x:f>M35-K35</x:f>
        <x:v>1</x:v>
      </x:c>
      <x:c r="O35" s="24" t="str">
        <x:f>'500件商品'!Q35</x:f>
        <x:v>K區</x:v>
      </x:c>
      <x:c r="P35" s="26" t="n">
        <x:f>'500件商品'!R35</x:f>
        <x:v>47</x:v>
      </x:c>
      <x:c r="Q35" s="24" t="str">
        <x:f>IF(H35="否","非棧板管理",IF(AND(E35="是",N35&gt;0),"季節彈性前移區",IF(OR(C35="Cluster 3",D35&gt;=55),"近端低層棧板區",IF(C35="Cluster 2","中段大貨位",IF(C35="Cluster 4","遠端彈性儲位","中段棧板區")))))</x:f>
        <x:v>中段棧板區</x:v>
      </x:c>
      <x:c r="R35" s="24" t="str">
        <x:f>IF(AND(H35="是",E35="是",N35&gt;0),"是","否")</x:f>
        <x:v>否</x:v>
      </x:c>
      <x:c r="S35" s="24" t="str">
        <x:f>IF(H35="否","非本次棧板儲位分析對象",IF(R35="是","旺季前需前移並增加棧板位",IF(N35&gt;0,"需增加棧板位",IF(N35&lt;0,"可釋放部分棧板位","維持現況"))))</x:f>
        <x:v>需增加棧板位</x:v>
      </x:c>
    </x:row>
    <x:row r="36">
      <x:c r="A36" s="24" t="str">
        <x:f>'500件商品'!A36</x:f>
        <x:v>PX0032</x:v>
      </x:c>
      <x:c r="B36" s="24" t="str">
        <x:f>'500件商品'!B36</x:f>
        <x:v>碳酸飲料整箱</x:v>
      </x:c>
      <x:c r="C36" s="24" t="str">
        <x:f>'500件商品'!D36</x:f>
        <x:v>Cluster 3</x:v>
      </x:c>
      <x:c r="D36" s="26" t="n">
        <x:f>'500件商品'!F36</x:f>
        <x:v>57</x:v>
      </x:c>
      <x:c r="E36" s="24" t="str">
        <x:f>'500件商品'!K36</x:f>
        <x:v>否</x:v>
      </x:c>
      <x:c r="F36" s="24" t="str">
        <x:f>'500件商品'!L36</x:f>
      </x:c>
      <x:c r="G36" s="28" t="n">
        <x:f>'500件商品'!M36</x:f>
        <x:v>1.5</x:v>
      </x:c>
      <x:c r="H36" s="24" t="str">
        <x:f>'500件商品'!P36</x:f>
        <x:v>是</x:v>
      </x:c>
      <x:c r="I36" s="26" t="n">
        <x:f>'500件商品'!N36</x:f>
        <x:v>470</x:v>
      </x:c>
      <x:c r="J36" s="26" t="n">
        <x:f>'500件商品'!O36</x:f>
        <x:v>40</x:v>
      </x:c>
      <x:c r="K36" s="26" t="n">
        <x:f>IF(H36="是",CEILING(I36/J36,1),0)</x:f>
        <x:v>12</x:v>
      </x:c>
      <x:c r="L36" s="26" t="n">
        <x:f>ROUND(I36*G36,0)</x:f>
        <x:v>705</x:v>
      </x:c>
      <x:c r="M36" s="26" t="n">
        <x:f>IF(H36="是",CEILING(L36/J36,1),0)</x:f>
        <x:v>18</x:v>
      </x:c>
      <x:c r="N36" s="26" t="n">
        <x:f>M36-K36</x:f>
        <x:v>6</x:v>
      </x:c>
      <x:c r="O36" s="24" t="str">
        <x:f>'500件商品'!Q36</x:f>
        <x:v>K區</x:v>
      </x:c>
      <x:c r="P36" s="26" t="n">
        <x:f>'500件商品'!R36</x:f>
        <x:v>53</x:v>
      </x:c>
      <x:c r="Q36" s="24" t="str">
        <x:f>IF(H36="否","非棧板管理",IF(AND(E36="是",N36&gt;0),"季節彈性前移區",IF(OR(C36="Cluster 3",D36&gt;=55),"近端低層棧板區",IF(C36="Cluster 2","中段大貨位",IF(C36="Cluster 4","遠端彈性儲位","中段棧板區")))))</x:f>
        <x:v>近端低層棧板區</x:v>
      </x:c>
      <x:c r="R36" s="24" t="str">
        <x:f>IF(AND(H36="是",E36="是",N36&gt;0),"是","否")</x:f>
        <x:v>否</x:v>
      </x:c>
      <x:c r="S36" s="24" t="str">
        <x:f>IF(H36="否","非本次棧板儲位分析對象",IF(R36="是","旺季前需前移並增加棧板位",IF(N36&gt;0,"需增加棧板位",IF(N36&lt;0,"可釋放部分棧板位","維持現況"))))</x:f>
        <x:v>需增加棧板位</x:v>
      </x:c>
    </x:row>
    <x:row r="37">
      <x:c r="A37" s="24" t="str">
        <x:f>'500件商品'!A37</x:f>
        <x:v>PX0033</x:v>
      </x:c>
      <x:c r="B37" s="24" t="str">
        <x:f>'500件商品'!B37</x:f>
        <x:v>冷泡茶包</x:v>
      </x:c>
      <x:c r="C37" s="24" t="str">
        <x:f>'500件商品'!D37</x:f>
        <x:v>Cluster 5</x:v>
      </x:c>
      <x:c r="D37" s="26" t="n">
        <x:f>'500件商品'!F37</x:f>
        <x:v>28</x:v>
      </x:c>
      <x:c r="E37" s="24" t="str">
        <x:f>'500件商品'!K37</x:f>
        <x:v>否</x:v>
      </x:c>
      <x:c r="F37" s="24" t="str">
        <x:f>'500件商品'!L37</x:f>
      </x:c>
      <x:c r="G37" s="28" t="n">
        <x:f>'500件商品'!M37</x:f>
        <x:v>1</x:v>
      </x:c>
      <x:c r="H37" s="24" t="str">
        <x:f>'500件商品'!P37</x:f>
        <x:v>否</x:v>
      </x:c>
      <x:c r="I37" s="26" t="n">
        <x:f>'500件商品'!N37</x:f>
        <x:v>102</x:v>
      </x:c>
      <x:c r="J37" s="26" t="str">
        <x:f>'500件商品'!O37</x:f>
      </x:c>
      <x:c r="K37" s="26" t="n">
        <x:f>IF(H37="是",CEILING(I37/J37,1),0)</x:f>
        <x:v>0</x:v>
      </x:c>
      <x:c r="L37" s="26" t="n">
        <x:f>ROUND(I37*G37,0)</x:f>
        <x:v>102</x:v>
      </x:c>
      <x:c r="M37" s="26" t="n">
        <x:f>IF(H37="是",CEILING(L37/J37,1),0)</x:f>
        <x:v>0</x:v>
      </x:c>
      <x:c r="N37" s="26" t="n">
        <x:f>M37-K37</x:f>
        <x:v>0</x:v>
      </x:c>
      <x:c r="O37" s="24" t="str">
        <x:f>'500件商品'!Q37</x:f>
        <x:v>1區</x:v>
      </x:c>
      <x:c r="P37" s="26" t="n">
        <x:f>'500件商品'!R37</x:f>
        <x:v>29</x:v>
      </x:c>
      <x:c r="Q37" s="24" t="str">
        <x:f>IF(H37="否","非棧板管理",IF(AND(E37="是",N37&gt;0),"季節彈性前移區",IF(OR(C37="Cluster 3",D37&gt;=55),"近端低層棧板區",IF(C37="Cluster 2","中段大貨位",IF(C37="Cluster 4","遠端彈性儲位","中段棧板區")))))</x:f>
        <x:v>非棧板管理</x:v>
      </x:c>
      <x:c r="R37" s="24" t="str">
        <x:f>IF(AND(H37="是",E37="是",N37&gt;0),"是","否")</x:f>
        <x:v>否</x:v>
      </x:c>
      <x:c r="S37" s="24" t="str">
        <x:f>IF(H37="否","非本次棧板儲位分析對象",IF(R37="是","旺季前需前移並增加棧板位",IF(N37&gt;0,"需增加棧板位",IF(N37&lt;0,"可釋放部分棧板位","維持現況"))))</x:f>
        <x:v>非本次棧板儲位分析對象</x:v>
      </x:c>
    </x:row>
    <x:row r="38">
      <x:c r="A38" s="24" t="str">
        <x:f>'500件商品'!A38</x:f>
        <x:v>PX0034</x:v>
      </x:c>
      <x:c r="B38" s="24" t="str">
        <x:f>'500件商品'!B38</x:f>
        <x:v>成人紙尿褲</x:v>
      </x:c>
      <x:c r="C38" s="24" t="str">
        <x:f>'500件商品'!D38</x:f>
        <x:v>Cluster 2</x:v>
      </x:c>
      <x:c r="D38" s="26" t="n">
        <x:f>'500件商品'!F38</x:f>
        <x:v>34</x:v>
      </x:c>
      <x:c r="E38" s="24" t="str">
        <x:f>'500件商品'!K38</x:f>
        <x:v>否</x:v>
      </x:c>
      <x:c r="F38" s="24" t="str">
        <x:f>'500件商品'!L38</x:f>
      </x:c>
      <x:c r="G38" s="28" t="n">
        <x:f>'500件商品'!M38</x:f>
        <x:v>1</x:v>
      </x:c>
      <x:c r="H38" s="24" t="str">
        <x:f>'500件商品'!P38</x:f>
        <x:v>是</x:v>
      </x:c>
      <x:c r="I38" s="26" t="n">
        <x:f>'500件商品'!N38</x:f>
        <x:v>231</x:v>
      </x:c>
      <x:c r="J38" s="26" t="n">
        <x:f>'500件商品'!O38</x:f>
        <x:v>24</x:v>
      </x:c>
      <x:c r="K38" s="26" t="n">
        <x:f>IF(H38="是",CEILING(I38/J38,1),0)</x:f>
        <x:v>10</x:v>
      </x:c>
      <x:c r="L38" s="26" t="n">
        <x:f>ROUND(I38*G38,0)</x:f>
        <x:v>231</x:v>
      </x:c>
      <x:c r="M38" s="26" t="n">
        <x:f>IF(H38="是",CEILING(L38/J38,1),0)</x:f>
        <x:v>10</x:v>
      </x:c>
      <x:c r="N38" s="26" t="n">
        <x:f>M38-K38</x:f>
        <x:v>0</x:v>
      </x:c>
      <x:c r="O38" s="24" t="str">
        <x:f>'500件商品'!Q38</x:f>
        <x:v>A區</x:v>
      </x:c>
      <x:c r="P38" s="26" t="n">
        <x:f>'500件商品'!R38</x:f>
        <x:v>43</x:v>
      </x:c>
      <x:c r="Q38" s="24" t="str">
        <x:f>IF(H38="否","非棧板管理",IF(AND(E38="是",N38&gt;0),"季節彈性前移區",IF(OR(C38="Cluster 3",D38&gt;=55),"近端低層棧板區",IF(C38="Cluster 2","中段大貨位",IF(C38="Cluster 4","遠端彈性儲位","中段棧板區")))))</x:f>
        <x:v>中段大貨位</x:v>
      </x:c>
      <x:c r="R38" s="24" t="str">
        <x:f>IF(AND(H38="是",E38="是",N38&gt;0),"是","否")</x:f>
        <x:v>否</x:v>
      </x:c>
      <x:c r="S38" s="24" t="str">
        <x:f>IF(H38="否","非本次棧板儲位分析對象",IF(R38="是","旺季前需前移並增加棧板位",IF(N38&gt;0,"需增加棧板位",IF(N38&lt;0,"可釋放部分棧板位","維持現況"))))</x:f>
        <x:v>維持現況</x:v>
      </x:c>
    </x:row>
    <x:row r="39">
      <x:c r="A39" s="24" t="str">
        <x:f>'500件商品'!A39</x:f>
        <x:v>PX0035</x:v>
      </x:c>
      <x:c r="B39" s="24" t="str">
        <x:f>'500件商品'!B39</x:f>
        <x:v>玻璃瓶醬料</x:v>
      </x:c>
      <x:c r="C39" s="24" t="str">
        <x:f>'500件商品'!D39</x:f>
        <x:v>Cluster 1</x:v>
      </x:c>
      <x:c r="D39" s="26" t="n">
        <x:f>'500件商品'!F39</x:f>
        <x:v>24</x:v>
      </x:c>
      <x:c r="E39" s="24" t="str">
        <x:f>'500件商品'!K39</x:f>
        <x:v>否</x:v>
      </x:c>
      <x:c r="F39" s="24" t="str">
        <x:f>'500件商品'!L39</x:f>
      </x:c>
      <x:c r="G39" s="28" t="n">
        <x:f>'500件商品'!M39</x:f>
        <x:v>1</x:v>
      </x:c>
      <x:c r="H39" s="24" t="str">
        <x:f>'500件商品'!P39</x:f>
        <x:v>是</x:v>
      </x:c>
      <x:c r="I39" s="26" t="n">
        <x:f>'500件商品'!N39</x:f>
        <x:v>90</x:v>
      </x:c>
      <x:c r="J39" s="26" t="n">
        <x:f>'500件商品'!O39</x:f>
        <x:v>48</x:v>
      </x:c>
      <x:c r="K39" s="26" t="n">
        <x:f>IF(H39="是",CEILING(I39/J39,1),0)</x:f>
        <x:v>2</x:v>
      </x:c>
      <x:c r="L39" s="26" t="n">
        <x:f>ROUND(I39*G39,0)</x:f>
        <x:v>90</x:v>
      </x:c>
      <x:c r="M39" s="26" t="n">
        <x:f>IF(H39="是",CEILING(L39/J39,1),0)</x:f>
        <x:v>2</x:v>
      </x:c>
      <x:c r="N39" s="26" t="n">
        <x:f>M39-K39</x:f>
        <x:v>0</x:v>
      </x:c>
      <x:c r="O39" s="24" t="str">
        <x:f>'500件商品'!Q39</x:f>
        <x:v>K區</x:v>
      </x:c>
      <x:c r="P39" s="26" t="n">
        <x:f>'500件商品'!R39</x:f>
        <x:v>41</x:v>
      </x:c>
      <x:c r="Q39" s="24" t="str">
        <x:f>IF(H39="否","非棧板管理",IF(AND(E39="是",N39&gt;0),"季節彈性前移區",IF(OR(C39="Cluster 3",D39&gt;=55),"近端低層棧板區",IF(C39="Cluster 2","中段大貨位",IF(C39="Cluster 4","遠端彈性儲位","中段棧板區")))))</x:f>
        <x:v>中段棧板區</x:v>
      </x:c>
      <x:c r="R39" s="24" t="str">
        <x:f>IF(AND(H39="是",E39="是",N39&gt;0),"是","否")</x:f>
        <x:v>否</x:v>
      </x:c>
      <x:c r="S39" s="24" t="str">
        <x:f>IF(H39="否","非本次棧板儲位分析對象",IF(R39="是","旺季前需前移並增加棧板位",IF(N39&gt;0,"需增加棧板位",IF(N39&lt;0,"可釋放部分棧板位","維持現況"))))</x:f>
        <x:v>維持現況</x:v>
      </x:c>
    </x:row>
    <x:row r="40">
      <x:c r="A40" s="24" t="str">
        <x:f>'500件商品'!A40</x:f>
        <x:v>PX0036</x:v>
      </x:c>
      <x:c r="B40" s="24" t="str">
        <x:f>'500件商品'!B40</x:f>
        <x:v>洗衣粉箱</x:v>
      </x:c>
      <x:c r="C40" s="24" t="str">
        <x:f>'500件商品'!D40</x:f>
        <x:v>Cluster 5</x:v>
      </x:c>
      <x:c r="D40" s="26" t="n">
        <x:f>'500件商品'!F40</x:f>
        <x:v>35</x:v>
      </x:c>
      <x:c r="E40" s="24" t="str">
        <x:f>'500件商品'!K40</x:f>
        <x:v>否</x:v>
      </x:c>
      <x:c r="F40" s="24" t="str">
        <x:f>'500件商品'!L40</x:f>
      </x:c>
      <x:c r="G40" s="28" t="n">
        <x:f>'500件商品'!M40</x:f>
        <x:v>1.1</x:v>
      </x:c>
      <x:c r="H40" s="24" t="str">
        <x:f>'500件商品'!P40</x:f>
        <x:v>是</x:v>
      </x:c>
      <x:c r="I40" s="26" t="n">
        <x:f>'500件商品'!N40</x:f>
        <x:v>227</x:v>
      </x:c>
      <x:c r="J40" s="26" t="n">
        <x:f>'500件商品'!O40</x:f>
        <x:v>60</x:v>
      </x:c>
      <x:c r="K40" s="26" t="n">
        <x:f>IF(H40="是",CEILING(I40/J40,1),0)</x:f>
        <x:v>4</x:v>
      </x:c>
      <x:c r="L40" s="26" t="n">
        <x:f>ROUND(I40*G40,0)</x:f>
        <x:v>250</x:v>
      </x:c>
      <x:c r="M40" s="26" t="n">
        <x:f>IF(H40="是",CEILING(L40/J40,1),0)</x:f>
        <x:v>5</x:v>
      </x:c>
      <x:c r="N40" s="26" t="n">
        <x:f>M40-K40</x:f>
        <x:v>1</x:v>
      </x:c>
      <x:c r="O40" s="24" t="str">
        <x:f>'500件商品'!Q40</x:f>
        <x:v>3區</x:v>
      </x:c>
      <x:c r="P40" s="26" t="n">
        <x:f>'500件商品'!R40</x:f>
        <x:v>37</x:v>
      </x:c>
      <x:c r="Q40" s="24" t="str">
        <x:f>IF(H40="否","非棧板管理",IF(AND(E40="是",N40&gt;0),"季節彈性前移區",IF(OR(C40="Cluster 3",D40&gt;=55),"近端低層棧板區",IF(C40="Cluster 2","中段大貨位",IF(C40="Cluster 4","遠端彈性儲位","中段棧板區")))))</x:f>
        <x:v>中段棧板區</x:v>
      </x:c>
      <x:c r="R40" s="24" t="str">
        <x:f>IF(AND(H40="是",E40="是",N40&gt;0),"是","否")</x:f>
        <x:v>否</x:v>
      </x:c>
      <x:c r="S40" s="24" t="str">
        <x:f>IF(H40="否","非本次棧板儲位分析對象",IF(R40="是","旺季前需前移並增加棧板位",IF(N40&gt;0,"需增加棧板位",IF(N40&lt;0,"可釋放部分棧板位","維持現況"))))</x:f>
        <x:v>需增加棧板位</x:v>
      </x:c>
    </x:row>
    <x:row r="41">
      <x:c r="A41" s="24" t="str">
        <x:f>'500件商品'!A41</x:f>
        <x:v>PX0037</x:v>
      </x:c>
      <x:c r="B41" s="24" t="str">
        <x:f>'500件商品'!B41</x:f>
        <x:v>蛋捲禮盒</x:v>
      </x:c>
      <x:c r="C41" s="24" t="str">
        <x:f>'500件商品'!D41</x:f>
        <x:v>Cluster 4</x:v>
      </x:c>
      <x:c r="D41" s="26" t="n">
        <x:f>'500件商品'!F41</x:f>
        <x:v>13</x:v>
      </x:c>
      <x:c r="E41" s="24" t="str">
        <x:f>'500件商品'!K41</x:f>
        <x:v>是</x:v>
      </x:c>
      <x:c r="F41" s="24" t="str">
        <x:f>'500件商品'!L41</x:f>
        <x:v>1-2月</x:v>
      </x:c>
      <x:c r="G41" s="28" t="n">
        <x:f>'500件商品'!M41</x:f>
        <x:v>2</x:v>
      </x:c>
      <x:c r="H41" s="24" t="str">
        <x:f>'500件商品'!P41</x:f>
        <x:v>否</x:v>
      </x:c>
      <x:c r="I41" s="26" t="n">
        <x:f>'500件商品'!N41</x:f>
        <x:v>98</x:v>
      </x:c>
      <x:c r="J41" s="26" t="str">
        <x:f>'500件商品'!O41</x:f>
      </x:c>
      <x:c r="K41" s="26" t="n">
        <x:f>IF(H41="是",CEILING(I41/J41,1),0)</x:f>
        <x:v>0</x:v>
      </x:c>
      <x:c r="L41" s="26" t="n">
        <x:f>ROUND(I41*G41,0)</x:f>
        <x:v>196</x:v>
      </x:c>
      <x:c r="M41" s="26" t="n">
        <x:f>IF(H41="是",CEILING(L41/J41,1),0)</x:f>
        <x:v>0</x:v>
      </x:c>
      <x:c r="N41" s="26" t="n">
        <x:f>M41-K41</x:f>
        <x:v>0</x:v>
      </x:c>
      <x:c r="O41" s="24" t="str">
        <x:f>'500件商品'!Q41</x:f>
        <x:v>A區</x:v>
      </x:c>
      <x:c r="P41" s="26" t="n">
        <x:f>'500件商品'!R41</x:f>
        <x:v>56</x:v>
      </x:c>
      <x:c r="Q41" s="24" t="str">
        <x:f>IF(H41="否","非棧板管理",IF(AND(E41="是",N41&gt;0),"季節彈性前移區",IF(OR(C41="Cluster 3",D41&gt;=55),"近端低層棧板區",IF(C41="Cluster 2","中段大貨位",IF(C41="Cluster 4","遠端彈性儲位","中段棧板區")))))</x:f>
        <x:v>非棧板管理</x:v>
      </x:c>
      <x:c r="R41" s="24" t="str">
        <x:f>IF(AND(H41="是",E41="是",N41&gt;0),"是","否")</x:f>
        <x:v>否</x:v>
      </x:c>
      <x:c r="S41" s="24" t="str">
        <x:f>IF(H41="否","非本次棧板儲位分析對象",IF(R41="是","旺季前需前移並增加棧板位",IF(N41&gt;0,"需增加棧板位",IF(N41&lt;0,"可釋放部分棧板位","維持現況"))))</x:f>
        <x:v>非本次棧板儲位分析對象</x:v>
      </x:c>
    </x:row>
    <x:row r="42">
      <x:c r="A42" s="24" t="str">
        <x:f>'500件商品'!A42</x:f>
        <x:v>PX0038</x:v>
      </x:c>
      <x:c r="B42" s="24" t="str">
        <x:f>'500件商品'!B42</x:f>
        <x:v>暖暖包</x:v>
      </x:c>
      <x:c r="C42" s="24" t="str">
        <x:f>'500件商品'!D42</x:f>
        <x:v>Cluster 4</x:v>
      </x:c>
      <x:c r="D42" s="26" t="n">
        <x:f>'500件商品'!F42</x:f>
        <x:v>17</x:v>
      </x:c>
      <x:c r="E42" s="24" t="str">
        <x:f>'500件商品'!K42</x:f>
        <x:v>是</x:v>
      </x:c>
      <x:c r="F42" s="24" t="str">
        <x:f>'500件商品'!L42</x:f>
        <x:v>11-2月</x:v>
      </x:c>
      <x:c r="G42" s="28" t="n">
        <x:f>'500件商品'!M42</x:f>
        <x:v>1.8</x:v>
      </x:c>
      <x:c r="H42" s="24" t="str">
        <x:f>'500件商品'!P42</x:f>
        <x:v>否</x:v>
      </x:c>
      <x:c r="I42" s="26" t="n">
        <x:f>'500件商品'!N42</x:f>
        <x:v>102</x:v>
      </x:c>
      <x:c r="J42" s="26" t="str">
        <x:f>'500件商品'!O42</x:f>
      </x:c>
      <x:c r="K42" s="26" t="n">
        <x:f>IF(H42="是",CEILING(I42/J42,1),0)</x:f>
        <x:v>0</x:v>
      </x:c>
      <x:c r="L42" s="26" t="n">
        <x:f>ROUND(I42*G42,0)</x:f>
        <x:v>184</x:v>
      </x:c>
      <x:c r="M42" s="26" t="n">
        <x:f>IF(H42="是",CEILING(L42/J42,1),0)</x:f>
        <x:v>0</x:v>
      </x:c>
      <x:c r="N42" s="26" t="n">
        <x:f>M42-K42</x:f>
        <x:v>0</x:v>
      </x:c>
      <x:c r="O42" s="24" t="str">
        <x:f>'500件商品'!Q42</x:f>
        <x:v>1區</x:v>
      </x:c>
      <x:c r="P42" s="26" t="n">
        <x:f>'500件商品'!R42</x:f>
        <x:v>54</x:v>
      </x:c>
      <x:c r="Q42" s="24" t="str">
        <x:f>IF(H42="否","非棧板管理",IF(AND(E42="是",N42&gt;0),"季節彈性前移區",IF(OR(C42="Cluster 3",D42&gt;=55),"近端低層棧板區",IF(C42="Cluster 2","中段大貨位",IF(C42="Cluster 4","遠端彈性儲位","中段棧板區")))))</x:f>
        <x:v>非棧板管理</x:v>
      </x:c>
      <x:c r="R42" s="24" t="str">
        <x:f>IF(AND(H42="是",E42="是",N42&gt;0),"是","否")</x:f>
        <x:v>否</x:v>
      </x:c>
      <x:c r="S42" s="24" t="str">
        <x:f>IF(H42="否","非本次棧板儲位分析對象",IF(R42="是","旺季前需前移並增加棧板位",IF(N42&gt;0,"需增加棧板位",IF(N42&lt;0,"可釋放部分棧板位","維持現況"))))</x:f>
        <x:v>非本次棧板儲位分析對象</x:v>
      </x:c>
    </x:row>
    <x:row r="43">
      <x:c r="A43" s="24" t="str">
        <x:f>'500件商品'!A43</x:f>
        <x:v>PX0039</x:v>
      </x:c>
      <x:c r="B43" s="24" t="str">
        <x:f>'500件商品'!B43</x:f>
        <x:v>保鮮膜</x:v>
      </x:c>
      <x:c r="C43" s="24" t="str">
        <x:f>'500件商品'!D43</x:f>
        <x:v>Cluster 5</x:v>
      </x:c>
      <x:c r="D43" s="26" t="n">
        <x:f>'500件商品'!F43</x:f>
        <x:v>29</x:v>
      </x:c>
      <x:c r="E43" s="24" t="str">
        <x:f>'500件商品'!K43</x:f>
        <x:v>否</x:v>
      </x:c>
      <x:c r="F43" s="24" t="str">
        <x:f>'500件商品'!L43</x:f>
      </x:c>
      <x:c r="G43" s="28" t="n">
        <x:f>'500件商品'!M43</x:f>
        <x:v>1.1</x:v>
      </x:c>
      <x:c r="H43" s="24" t="str">
        <x:f>'500件商品'!P43</x:f>
        <x:v>否</x:v>
      </x:c>
      <x:c r="I43" s="26" t="n">
        <x:f>'500件商品'!N43</x:f>
        <x:v>197</x:v>
      </x:c>
      <x:c r="J43" s="26" t="str">
        <x:f>'500件商品'!O43</x:f>
      </x:c>
      <x:c r="K43" s="26" t="n">
        <x:f>IF(H43="是",CEILING(I43/J43,1),0)</x:f>
        <x:v>0</x:v>
      </x:c>
      <x:c r="L43" s="26" t="n">
        <x:f>ROUND(I43*G43,0)</x:f>
        <x:v>217</x:v>
      </x:c>
      <x:c r="M43" s="26" t="n">
        <x:f>IF(H43="是",CEILING(L43/J43,1),0)</x:f>
        <x:v>0</x:v>
      </x:c>
      <x:c r="N43" s="26" t="n">
        <x:f>M43-K43</x:f>
        <x:v>0</x:v>
      </x:c>
      <x:c r="O43" s="24" t="str">
        <x:f>'500件商品'!Q43</x:f>
        <x:v>1區</x:v>
      </x:c>
      <x:c r="P43" s="26" t="n">
        <x:f>'500件商品'!R43</x:f>
        <x:v>26</x:v>
      </x:c>
      <x:c r="Q43" s="24" t="str">
        <x:f>IF(H43="否","非棧板管理",IF(AND(E43="是",N43&gt;0),"季節彈性前移區",IF(OR(C43="Cluster 3",D43&gt;=55),"近端低層棧板區",IF(C43="Cluster 2","中段大貨位",IF(C43="Cluster 4","遠端彈性儲位","中段棧板區")))))</x:f>
        <x:v>非棧板管理</x:v>
      </x:c>
      <x:c r="R43" s="24" t="str">
        <x:f>IF(AND(H43="是",E43="是",N43&gt;0),"是","否")</x:f>
        <x:v>否</x:v>
      </x:c>
      <x:c r="S43" s="24" t="str">
        <x:f>IF(H43="否","非本次棧板儲位分析對象",IF(R43="是","旺季前需前移並增加棧板位",IF(N43&gt;0,"需增加棧板位",IF(N43&lt;0,"可釋放部分棧板位","維持現況"))))</x:f>
        <x:v>非本次棧板儲位分析對象</x:v>
      </x:c>
    </x:row>
    <x:row r="44">
      <x:c r="A44" s="24" t="str">
        <x:f>'500件商品'!A44</x:f>
        <x:v>PX0040</x:v>
      </x:c>
      <x:c r="B44" s="24" t="str">
        <x:f>'500件商品'!B44</x:f>
        <x:v>鋁箔紙</x:v>
      </x:c>
      <x:c r="C44" s="24" t="str">
        <x:f>'500件商品'!D44</x:f>
        <x:v>Cluster 5</x:v>
      </x:c>
      <x:c r="D44" s="26" t="n">
        <x:f>'500件商品'!F44</x:f>
        <x:v>27</x:v>
      </x:c>
      <x:c r="E44" s="24" t="str">
        <x:f>'500件商品'!K44</x:f>
        <x:v>否</x:v>
      </x:c>
      <x:c r="F44" s="24" t="str">
        <x:f>'500件商品'!L44</x:f>
      </x:c>
      <x:c r="G44" s="28" t="n">
        <x:f>'500件商品'!M44</x:f>
        <x:v>1</x:v>
      </x:c>
      <x:c r="H44" s="24" t="str">
        <x:f>'500件商品'!P44</x:f>
        <x:v>否</x:v>
      </x:c>
      <x:c r="I44" s="26" t="n">
        <x:f>'500件商品'!N44</x:f>
        <x:v>197</x:v>
      </x:c>
      <x:c r="J44" s="26" t="str">
        <x:f>'500件商品'!O44</x:f>
      </x:c>
      <x:c r="K44" s="26" t="n">
        <x:f>IF(H44="是",CEILING(I44/J44,1),0)</x:f>
        <x:v>0</x:v>
      </x:c>
      <x:c r="L44" s="26" t="n">
        <x:f>ROUND(I44*G44,0)</x:f>
        <x:v>197</x:v>
      </x:c>
      <x:c r="M44" s="26" t="n">
        <x:f>IF(H44="是",CEILING(L44/J44,1),0)</x:f>
        <x:v>0</x:v>
      </x:c>
      <x:c r="N44" s="26" t="n">
        <x:f>M44-K44</x:f>
        <x:v>0</x:v>
      </x:c>
      <x:c r="O44" s="24" t="str">
        <x:f>'500件商品'!Q44</x:f>
        <x:v>A區</x:v>
      </x:c>
      <x:c r="P44" s="26" t="n">
        <x:f>'500件商品'!R44</x:f>
        <x:v>31</x:v>
      </x:c>
      <x:c r="Q44" s="24" t="str">
        <x:f>IF(H44="否","非棧板管理",IF(AND(E44="是",N44&gt;0),"季節彈性前移區",IF(OR(C44="Cluster 3",D44&gt;=55),"近端低層棧板區",IF(C44="Cluster 2","中段大貨位",IF(C44="Cluster 4","遠端彈性儲位","中段棧板區")))))</x:f>
        <x:v>非棧板管理</x:v>
      </x:c>
      <x:c r="R44" s="24" t="str">
        <x:f>IF(AND(H44="是",E44="是",N44&gt;0),"是","否")</x:f>
        <x:v>否</x:v>
      </x:c>
      <x:c r="S44" s="24" t="str">
        <x:f>IF(H44="否","非本次棧板儲位分析對象",IF(R44="是","旺季前需前移並增加棧板位",IF(N44&gt;0,"需增加棧板位",IF(N44&lt;0,"可釋放部分棧板位","維持現況"))))</x:f>
        <x:v>非本次棧板儲位分析對象</x:v>
      </x:c>
    </x:row>
    <x:row r="45">
      <x:c r="A45" s="24" t="str">
        <x:f>'500件商品'!A45</x:f>
        <x:v>PX0041</x:v>
      </x:c>
      <x:c r="B45" s="24" t="str">
        <x:f>'500件商品'!B45</x:f>
        <x:v>貓砂10L</x:v>
      </x:c>
      <x:c r="C45" s="24" t="str">
        <x:f>'500件商品'!D45</x:f>
        <x:v>Cluster 2</x:v>
      </x:c>
      <x:c r="D45" s="26" t="n">
        <x:f>'500件商品'!F45</x:f>
        <x:v>25</x:v>
      </x:c>
      <x:c r="E45" s="24" t="str">
        <x:f>'500件商品'!K45</x:f>
        <x:v>否</x:v>
      </x:c>
      <x:c r="F45" s="24" t="str">
        <x:f>'500件商品'!L45</x:f>
      </x:c>
      <x:c r="G45" s="28" t="n">
        <x:f>'500件商品'!M45</x:f>
        <x:v>1</x:v>
      </x:c>
      <x:c r="H45" s="24" t="str">
        <x:f>'500件商品'!P45</x:f>
        <x:v>是</x:v>
      </x:c>
      <x:c r="I45" s="26" t="n">
        <x:f>'500件商品'!N45</x:f>
        <x:v>86</x:v>
      </x:c>
      <x:c r="J45" s="26" t="n">
        <x:f>'500件商品'!O45</x:f>
        <x:v>24</x:v>
      </x:c>
      <x:c r="K45" s="26" t="n">
        <x:f>IF(H45="是",CEILING(I45/J45,1),0)</x:f>
        <x:v>4</x:v>
      </x:c>
      <x:c r="L45" s="26" t="n">
        <x:f>ROUND(I45*G45,0)</x:f>
        <x:v>86</x:v>
      </x:c>
      <x:c r="M45" s="26" t="n">
        <x:f>IF(H45="是",CEILING(L45/J45,1),0)</x:f>
        <x:v>4</x:v>
      </x:c>
      <x:c r="N45" s="26" t="n">
        <x:f>M45-K45</x:f>
        <x:v>0</x:v>
      </x:c>
      <x:c r="O45" s="24" t="str">
        <x:f>'500件商品'!Q45</x:f>
        <x:v>K區</x:v>
      </x:c>
      <x:c r="P45" s="26" t="n">
        <x:f>'500件商品'!R45</x:f>
        <x:v>57</x:v>
      </x:c>
      <x:c r="Q45" s="24" t="str">
        <x:f>IF(H45="否","非棧板管理",IF(AND(E45="是",N45&gt;0),"季節彈性前移區",IF(OR(C45="Cluster 3",D45&gt;=55),"近端低層棧板區",IF(C45="Cluster 2","中段大貨位",IF(C45="Cluster 4","遠端彈性儲位","中段棧板區")))))</x:f>
        <x:v>中段大貨位</x:v>
      </x:c>
      <x:c r="R45" s="24" t="str">
        <x:f>IF(AND(H45="是",E45="是",N45&gt;0),"是","否")</x:f>
        <x:v>否</x:v>
      </x:c>
      <x:c r="S45" s="24" t="str">
        <x:f>IF(H45="否","非本次棧板儲位分析對象",IF(R45="是","旺季前需前移並增加棧板位",IF(N45&gt;0,"需增加棧板位",IF(N45&lt;0,"可釋放部分棧板位","維持現況"))))</x:f>
        <x:v>維持現況</x:v>
      </x:c>
    </x:row>
    <x:row r="46">
      <x:c r="A46" s="24" t="str">
        <x:f>'500件商品'!A46</x:f>
        <x:v>PX0042</x:v>
      </x:c>
      <x:c r="B46" s="24" t="str">
        <x:f>'500件商品'!B46</x:f>
        <x:v>運動飲料整箱</x:v>
      </x:c>
      <x:c r="C46" s="24" t="str">
        <x:f>'500件商品'!D46</x:f>
        <x:v>Cluster 3</x:v>
      </x:c>
      <x:c r="D46" s="26" t="n">
        <x:f>'500件商品'!F46</x:f>
        <x:v>64</x:v>
      </x:c>
      <x:c r="E46" s="24" t="str">
        <x:f>'500件商品'!K46</x:f>
        <x:v>否</x:v>
      </x:c>
      <x:c r="F46" s="24" t="str">
        <x:f>'500件商品'!L46</x:f>
      </x:c>
      <x:c r="G46" s="28" t="n">
        <x:f>'500件商品'!M46</x:f>
        <x:v>1.3</x:v>
      </x:c>
      <x:c r="H46" s="24" t="str">
        <x:f>'500件商品'!P46</x:f>
        <x:v>是</x:v>
      </x:c>
      <x:c r="I46" s="26" t="n">
        <x:f>'500件商品'!N46</x:f>
        <x:v>376</x:v>
      </x:c>
      <x:c r="J46" s="26" t="n">
        <x:f>'500件商品'!O46</x:f>
        <x:v>32</x:v>
      </x:c>
      <x:c r="K46" s="26" t="n">
        <x:f>IF(H46="是",CEILING(I46/J46,1),0)</x:f>
        <x:v>12</x:v>
      </x:c>
      <x:c r="L46" s="26" t="n">
        <x:f>ROUND(I46*G46,0)</x:f>
        <x:v>489</x:v>
      </x:c>
      <x:c r="M46" s="26" t="n">
        <x:f>IF(H46="是",CEILING(L46/J46,1),0)</x:f>
        <x:v>16</x:v>
      </x:c>
      <x:c r="N46" s="26" t="n">
        <x:f>M46-K46</x:f>
        <x:v>4</x:v>
      </x:c>
      <x:c r="O46" s="24" t="str">
        <x:f>'500件商品'!Q46</x:f>
        <x:v>K區</x:v>
      </x:c>
      <x:c r="P46" s="26" t="n">
        <x:f>'500件商品'!R46</x:f>
        <x:v>52</x:v>
      </x:c>
      <x:c r="Q46" s="24" t="str">
        <x:f>IF(H46="否","非棧板管理",IF(AND(E46="是",N46&gt;0),"季節彈性前移區",IF(OR(C46="Cluster 3",D46&gt;=55),"近端低層棧板區",IF(C46="Cluster 2","中段大貨位",IF(C46="Cluster 4","遠端彈性儲位","中段棧板區")))))</x:f>
        <x:v>近端低層棧板區</x:v>
      </x:c>
      <x:c r="R46" s="24" t="str">
        <x:f>IF(AND(H46="是",E46="是",N46&gt;0),"是","否")</x:f>
        <x:v>否</x:v>
      </x:c>
      <x:c r="S46" s="24" t="str">
        <x:f>IF(H46="否","非本次棧板儲位分析對象",IF(R46="是","旺季前需前移並增加棧板位",IF(N46&gt;0,"需增加棧板位",IF(N46&lt;0,"可釋放部分棧板位","維持現況"))))</x:f>
        <x:v>需增加棧板位</x:v>
      </x:c>
    </x:row>
    <x:row r="47">
      <x:c r="A47" s="24" t="str">
        <x:f>'500件商品'!A47</x:f>
        <x:v>PX0043</x:v>
      </x:c>
      <x:c r="B47" s="24" t="str">
        <x:f>'500件商品'!B47</x:f>
        <x:v>乾電池組</x:v>
      </x:c>
      <x:c r="C47" s="24" t="str">
        <x:f>'500件商品'!D47</x:f>
        <x:v>Cluster 5</x:v>
      </x:c>
      <x:c r="D47" s="26" t="n">
        <x:f>'500件商品'!F47</x:f>
        <x:v>21</x:v>
      </x:c>
      <x:c r="E47" s="24" t="str">
        <x:f>'500件商品'!K47</x:f>
        <x:v>否</x:v>
      </x:c>
      <x:c r="F47" s="24" t="str">
        <x:f>'500件商品'!L47</x:f>
      </x:c>
      <x:c r="G47" s="28" t="n">
        <x:f>'500件商品'!M47</x:f>
        <x:v>1</x:v>
      </x:c>
      <x:c r="H47" s="24" t="str">
        <x:f>'500件商品'!P47</x:f>
        <x:v>否</x:v>
      </x:c>
      <x:c r="I47" s="26" t="n">
        <x:f>'500件商品'!N47</x:f>
        <x:v>132</x:v>
      </x:c>
      <x:c r="J47" s="26" t="str">
        <x:f>'500件商品'!O47</x:f>
      </x:c>
      <x:c r="K47" s="26" t="n">
        <x:f>IF(H47="是",CEILING(I47/J47,1),0)</x:f>
        <x:v>0</x:v>
      </x:c>
      <x:c r="L47" s="26" t="n">
        <x:f>ROUND(I47*G47,0)</x:f>
        <x:v>132</x:v>
      </x:c>
      <x:c r="M47" s="26" t="n">
        <x:f>IF(H47="是",CEILING(L47/J47,1),0)</x:f>
        <x:v>0</x:v>
      </x:c>
      <x:c r="N47" s="26" t="n">
        <x:f>M47-K47</x:f>
        <x:v>0</x:v>
      </x:c>
      <x:c r="O47" s="24" t="str">
        <x:f>'500件商品'!Q47</x:f>
        <x:v>A區</x:v>
      </x:c>
      <x:c r="P47" s="26" t="n">
        <x:f>'500件商品'!R47</x:f>
        <x:v>23</x:v>
      </x:c>
      <x:c r="Q47" s="24" t="str">
        <x:f>IF(H47="否","非棧板管理",IF(AND(E47="是",N47&gt;0),"季節彈性前移區",IF(OR(C47="Cluster 3",D47&gt;=55),"近端低層棧板區",IF(C47="Cluster 2","中段大貨位",IF(C47="Cluster 4","遠端彈性儲位","中段棧板區")))))</x:f>
        <x:v>非棧板管理</x:v>
      </x:c>
      <x:c r="R47" s="24" t="str">
        <x:f>IF(AND(H47="是",E47="是",N47&gt;0),"是","否")</x:f>
        <x:v>否</x:v>
      </x:c>
      <x:c r="S47" s="24" t="str">
        <x:f>IF(H47="否","非本次棧板儲位分析對象",IF(R47="是","旺季前需前移並增加棧板位",IF(N47&gt;0,"需增加棧板位",IF(N47&lt;0,"可釋放部分棧板位","維持現況"))))</x:f>
        <x:v>非本次棧板儲位分析對象</x:v>
      </x:c>
    </x:row>
    <x:row r="48">
      <x:c r="A48" s="24" t="str">
        <x:f>'500件商品'!A48</x:f>
        <x:v>PX0044</x:v>
      </x:c>
      <x:c r="B48" s="24" t="str">
        <x:f>'500件商品'!B48</x:f>
        <x:v>手套耗材</x:v>
      </x:c>
      <x:c r="C48" s="24" t="str">
        <x:f>'500件商品'!D48</x:f>
        <x:v>Cluster 5</x:v>
      </x:c>
      <x:c r="D48" s="26" t="n">
        <x:f>'500件商品'!F48</x:f>
        <x:v>16</x:v>
      </x:c>
      <x:c r="E48" s="24" t="str">
        <x:f>'500件商品'!K48</x:f>
        <x:v>否</x:v>
      </x:c>
      <x:c r="F48" s="24" t="str">
        <x:f>'500件商品'!L48</x:f>
      </x:c>
      <x:c r="G48" s="28" t="n">
        <x:f>'500件商品'!M48</x:f>
        <x:v>1</x:v>
      </x:c>
      <x:c r="H48" s="24" t="str">
        <x:f>'500件商品'!P48</x:f>
        <x:v>否</x:v>
      </x:c>
      <x:c r="I48" s="26" t="n">
        <x:f>'500件商品'!N48</x:f>
        <x:v>96</x:v>
      </x:c>
      <x:c r="J48" s="26" t="str">
        <x:f>'500件商品'!O48</x:f>
      </x:c>
      <x:c r="K48" s="26" t="n">
        <x:f>IF(H48="是",CEILING(I48/J48,1),0)</x:f>
        <x:v>0</x:v>
      </x:c>
      <x:c r="L48" s="26" t="n">
        <x:f>ROUND(I48*G48,0)</x:f>
        <x:v>96</x:v>
      </x:c>
      <x:c r="M48" s="26" t="n">
        <x:f>IF(H48="是",CEILING(L48/J48,1),0)</x:f>
        <x:v>0</x:v>
      </x:c>
      <x:c r="N48" s="26" t="n">
        <x:f>M48-K48</x:f>
        <x:v>0</x:v>
      </x:c>
      <x:c r="O48" s="24" t="str">
        <x:f>'500件商品'!Q48</x:f>
        <x:v>K區</x:v>
      </x:c>
      <x:c r="P48" s="26" t="n">
        <x:f>'500件商品'!R48</x:f>
        <x:v>59</x:v>
      </x:c>
      <x:c r="Q48" s="24" t="str">
        <x:f>IF(H48="否","非棧板管理",IF(AND(E48="是",N48&gt;0),"季節彈性前移區",IF(OR(C48="Cluster 3",D48&gt;=55),"近端低層棧板區",IF(C48="Cluster 2","中段大貨位",IF(C48="Cluster 4","遠端彈性儲位","中段棧板區")))))</x:f>
        <x:v>非棧板管理</x:v>
      </x:c>
      <x:c r="R48" s="24" t="str">
        <x:f>IF(AND(H48="是",E48="是",N48&gt;0),"是","否")</x:f>
        <x:v>否</x:v>
      </x:c>
      <x:c r="S48" s="24" t="str">
        <x:f>IF(H48="否","非本次棧板儲位分析對象",IF(R48="是","旺季前需前移並增加棧板位",IF(N48&gt;0,"需增加棧板位",IF(N48&lt;0,"可釋放部分棧板位","維持現況"))))</x:f>
        <x:v>非本次棧板儲位分析對象</x:v>
      </x:c>
    </x:row>
    <x:row r="49">
      <x:c r="A49" s="24" t="str">
        <x:f>'500件商品'!A49</x:f>
        <x:v>PX0045</x:v>
      </x:c>
      <x:c r="B49" s="24" t="str">
        <x:f>'500件商品'!B49</x:f>
        <x:v>口罩盒</x:v>
      </x:c>
      <x:c r="C49" s="24" t="str">
        <x:f>'500件商品'!D49</x:f>
        <x:v>Cluster 5</x:v>
      </x:c>
      <x:c r="D49" s="26" t="n">
        <x:f>'500件商品'!F49</x:f>
        <x:v>31</x:v>
      </x:c>
      <x:c r="E49" s="24" t="str">
        <x:f>'500件商品'!K49</x:f>
        <x:v>否</x:v>
      </x:c>
      <x:c r="F49" s="24" t="str">
        <x:f>'500件商品'!L49</x:f>
      </x:c>
      <x:c r="G49" s="28" t="n">
        <x:f>'500件商品'!M49</x:f>
        <x:v>1</x:v>
      </x:c>
      <x:c r="H49" s="24" t="str">
        <x:f>'500件商品'!P49</x:f>
        <x:v>否</x:v>
      </x:c>
      <x:c r="I49" s="26" t="n">
        <x:f>'500件商品'!N49</x:f>
        <x:v>233</x:v>
      </x:c>
      <x:c r="J49" s="26" t="str">
        <x:f>'500件商品'!O49</x:f>
      </x:c>
      <x:c r="K49" s="26" t="n">
        <x:f>IF(H49="是",CEILING(I49/J49,1),0)</x:f>
        <x:v>0</x:v>
      </x:c>
      <x:c r="L49" s="26" t="n">
        <x:f>ROUND(I49*G49,0)</x:f>
        <x:v>233</x:v>
      </x:c>
      <x:c r="M49" s="26" t="n">
        <x:f>IF(H49="是",CEILING(L49/J49,1),0)</x:f>
        <x:v>0</x:v>
      </x:c>
      <x:c r="N49" s="26" t="n">
        <x:f>M49-K49</x:f>
        <x:v>0</x:v>
      </x:c>
      <x:c r="O49" s="24" t="str">
        <x:f>'500件商品'!Q49</x:f>
        <x:v>1區</x:v>
      </x:c>
      <x:c r="P49" s="26" t="n">
        <x:f>'500件商品'!R49</x:f>
        <x:v>21</x:v>
      </x:c>
      <x:c r="Q49" s="24" t="str">
        <x:f>IF(H49="否","非棧板管理",IF(AND(E49="是",N49&gt;0),"季節彈性前移區",IF(OR(C49="Cluster 3",D49&gt;=55),"近端低層棧板區",IF(C49="Cluster 2","中段大貨位",IF(C49="Cluster 4","遠端彈性儲位","中段棧板區")))))</x:f>
        <x:v>非棧板管理</x:v>
      </x:c>
      <x:c r="R49" s="24" t="str">
        <x:f>IF(AND(H49="是",E49="是",N49&gt;0),"是","否")</x:f>
        <x:v>否</x:v>
      </x:c>
      <x:c r="S49" s="24" t="str">
        <x:f>IF(H49="否","非本次棧板儲位分析對象",IF(R49="是","旺季前需前移並增加棧板位",IF(N49&gt;0,"需增加棧板位",IF(N49&lt;0,"可釋放部分棧板位","維持現況"))))</x:f>
        <x:v>非本次棧板儲位分析對象</x:v>
      </x:c>
    </x:row>
    <x:row r="50">
      <x:c r="A50" s="24" t="str">
        <x:f>'500件商品'!A50</x:f>
        <x:v>PX0046</x:v>
      </x:c>
      <x:c r="B50" s="24" t="str">
        <x:f>'500件商品'!B50</x:f>
        <x:v>玻璃保鮮盒</x:v>
      </x:c>
      <x:c r="C50" s="24" t="str">
        <x:f>'500件商品'!D50</x:f>
        <x:v>Cluster 1</x:v>
      </x:c>
      <x:c r="D50" s="26" t="n">
        <x:f>'500件商品'!F50</x:f>
        <x:v>11</x:v>
      </x:c>
      <x:c r="E50" s="24" t="str">
        <x:f>'500件商品'!K50</x:f>
        <x:v>否</x:v>
      </x:c>
      <x:c r="F50" s="24" t="str">
        <x:f>'500件商品'!L50</x:f>
      </x:c>
      <x:c r="G50" s="28" t="n">
        <x:f>'500件商品'!M50</x:f>
        <x:v>1</x:v>
      </x:c>
      <x:c r="H50" s="24" t="str">
        <x:f>'500件商品'!P50</x:f>
        <x:v>否</x:v>
      </x:c>
      <x:c r="I50" s="26" t="n">
        <x:f>'500件商品'!N50</x:f>
        <x:v>40</x:v>
      </x:c>
      <x:c r="J50" s="26" t="str">
        <x:f>'500件商品'!O50</x:f>
      </x:c>
      <x:c r="K50" s="26" t="n">
        <x:f>IF(H50="是",CEILING(I50/J50,1),0)</x:f>
        <x:v>0</x:v>
      </x:c>
      <x:c r="L50" s="26" t="n">
        <x:f>ROUND(I50*G50,0)</x:f>
        <x:v>40</x:v>
      </x:c>
      <x:c r="M50" s="26" t="n">
        <x:f>IF(H50="是",CEILING(L50/J50,1),0)</x:f>
        <x:v>0</x:v>
      </x:c>
      <x:c r="N50" s="26" t="n">
        <x:f>M50-K50</x:f>
        <x:v>0</x:v>
      </x:c>
      <x:c r="O50" s="24" t="str">
        <x:f>'500件商品'!Q50</x:f>
        <x:v>A區</x:v>
      </x:c>
      <x:c r="P50" s="26" t="n">
        <x:f>'500件商品'!R50</x:f>
        <x:v>57</x:v>
      </x:c>
      <x:c r="Q50" s="24" t="str">
        <x:f>IF(H50="否","非棧板管理",IF(AND(E50="是",N50&gt;0),"季節彈性前移區",IF(OR(C50="Cluster 3",D50&gt;=55),"近端低層棧板區",IF(C50="Cluster 2","中段大貨位",IF(C50="Cluster 4","遠端彈性儲位","中段棧板區")))))</x:f>
        <x:v>非棧板管理</x:v>
      </x:c>
      <x:c r="R50" s="24" t="str">
        <x:f>IF(AND(H50="是",E50="是",N50&gt;0),"是","否")</x:f>
        <x:v>否</x:v>
      </x:c>
      <x:c r="S50" s="24" t="str">
        <x:f>IF(H50="否","非本次棧板儲位分析對象",IF(R50="是","旺季前需前移並增加棧板位",IF(N50&gt;0,"需增加棧板位",IF(N50&lt;0,"可釋放部分棧板位","維持現況"))))</x:f>
        <x:v>非本次棧板儲位分析對象</x:v>
      </x:c>
    </x:row>
    <x:row r="51">
      <x:c r="A51" s="24" t="str">
        <x:f>'500件商品'!A51</x:f>
        <x:v>PX0047</x:v>
      </x:c>
      <x:c r="B51" s="24" t="str">
        <x:f>'500件商品'!B51</x:f>
        <x:v>咖哩塊箱</x:v>
      </x:c>
      <x:c r="C51" s="24" t="str">
        <x:f>'500件商品'!D51</x:f>
        <x:v>Cluster 5</x:v>
      </x:c>
      <x:c r="D51" s="26" t="n">
        <x:f>'500件商品'!F51</x:f>
        <x:v>25</x:v>
      </x:c>
      <x:c r="E51" s="24" t="str">
        <x:f>'500件商品'!K51</x:f>
        <x:v>否</x:v>
      </x:c>
      <x:c r="F51" s="24" t="str">
        <x:f>'500件商品'!L51</x:f>
      </x:c>
      <x:c r="G51" s="28" t="n">
        <x:f>'500件商品'!M51</x:f>
        <x:v>1</x:v>
      </x:c>
      <x:c r="H51" s="24" t="str">
        <x:f>'500件商品'!P51</x:f>
        <x:v>否</x:v>
      </x:c>
      <x:c r="I51" s="26" t="n">
        <x:f>'500件商品'!N51</x:f>
        <x:v>190</x:v>
      </x:c>
      <x:c r="J51" s="26" t="str">
        <x:f>'500件商品'!O51</x:f>
      </x:c>
      <x:c r="K51" s="26" t="n">
        <x:f>IF(H51="是",CEILING(I51/J51,1),0)</x:f>
        <x:v>0</x:v>
      </x:c>
      <x:c r="L51" s="26" t="n">
        <x:f>ROUND(I51*G51,0)</x:f>
        <x:v>190</x:v>
      </x:c>
      <x:c r="M51" s="26" t="n">
        <x:f>IF(H51="是",CEILING(L51/J51,1),0)</x:f>
        <x:v>0</x:v>
      </x:c>
      <x:c r="N51" s="26" t="n">
        <x:f>M51-K51</x:f>
        <x:v>0</x:v>
      </x:c>
      <x:c r="O51" s="24" t="str">
        <x:f>'500件商品'!Q51</x:f>
        <x:v>3區</x:v>
      </x:c>
      <x:c r="P51" s="26" t="n">
        <x:f>'500件商品'!R51</x:f>
        <x:v>39</x:v>
      </x:c>
      <x:c r="Q51" s="24" t="str">
        <x:f>IF(H51="否","非棧板管理",IF(AND(E51="是",N51&gt;0),"季節彈性前移區",IF(OR(C51="Cluster 3",D51&gt;=55),"近端低層棧板區",IF(C51="Cluster 2","中段大貨位",IF(C51="Cluster 4","遠端彈性儲位","中段棧板區")))))</x:f>
        <x:v>非棧板管理</x:v>
      </x:c>
      <x:c r="R51" s="24" t="str">
        <x:f>IF(AND(H51="是",E51="是",N51&gt;0),"是","否")</x:f>
        <x:v>否</x:v>
      </x:c>
      <x:c r="S51" s="24" t="str">
        <x:f>IF(H51="否","非本次棧板儲位分析對象",IF(R51="是","旺季前需前移並增加棧板位",IF(N51&gt;0,"需增加棧板位",IF(N51&lt;0,"可釋放部分棧板位","維持現況"))))</x:f>
        <x:v>非本次棧板儲位分析對象</x:v>
      </x:c>
    </x:row>
    <x:row r="52">
      <x:c r="A52" s="24" t="str">
        <x:f>'500件商品'!A52</x:f>
        <x:v>PX0048</x:v>
      </x:c>
      <x:c r="B52" s="24" t="str">
        <x:f>'500件商品'!B52</x:f>
        <x:v>餐巾紙箱</x:v>
      </x:c>
      <x:c r="C52" s="24" t="str">
        <x:f>'500件商品'!D52</x:f>
        <x:v>Cluster 2</x:v>
      </x:c>
      <x:c r="D52" s="26" t="n">
        <x:f>'500件商品'!F52</x:f>
        <x:v>43</x:v>
      </x:c>
      <x:c r="E52" s="24" t="str">
        <x:f>'500件商品'!K52</x:f>
        <x:v>否</x:v>
      </x:c>
      <x:c r="F52" s="24" t="str">
        <x:f>'500件商品'!L52</x:f>
      </x:c>
      <x:c r="G52" s="28" t="n">
        <x:f>'500件商品'!M52</x:f>
        <x:v>1</x:v>
      </x:c>
      <x:c r="H52" s="24" t="str">
        <x:f>'500件商品'!P52</x:f>
        <x:v>是</x:v>
      </x:c>
      <x:c r="I52" s="26" t="n">
        <x:f>'500件商品'!N52</x:f>
        <x:v>179</x:v>
      </x:c>
      <x:c r="J52" s="26" t="n">
        <x:f>'500件商品'!O52</x:f>
        <x:v>18</x:v>
      </x:c>
      <x:c r="K52" s="26" t="n">
        <x:f>IF(H52="是",CEILING(I52/J52,1),0)</x:f>
        <x:v>10</x:v>
      </x:c>
      <x:c r="L52" s="26" t="n">
        <x:f>ROUND(I52*G52,0)</x:f>
        <x:v>179</x:v>
      </x:c>
      <x:c r="M52" s="26" t="n">
        <x:f>IF(H52="是",CEILING(L52/J52,1),0)</x:f>
        <x:v>10</x:v>
      </x:c>
      <x:c r="N52" s="26" t="n">
        <x:f>M52-K52</x:f>
        <x:v>0</x:v>
      </x:c>
      <x:c r="O52" s="24" t="str">
        <x:f>'500件商品'!Q52</x:f>
        <x:v>A區</x:v>
      </x:c>
      <x:c r="P52" s="26" t="n">
        <x:f>'500件商品'!R52</x:f>
        <x:v>36</x:v>
      </x:c>
      <x:c r="Q52" s="24" t="str">
        <x:f>IF(H52="否","非棧板管理",IF(AND(E52="是",N52&gt;0),"季節彈性前移區",IF(OR(C52="Cluster 3",D52&gt;=55),"近端低層棧板區",IF(C52="Cluster 2","中段大貨位",IF(C52="Cluster 4","遠端彈性儲位","中段棧板區")))))</x:f>
        <x:v>中段大貨位</x:v>
      </x:c>
      <x:c r="R52" s="24" t="str">
        <x:f>IF(AND(H52="是",E52="是",N52&gt;0),"是","否")</x:f>
        <x:v>否</x:v>
      </x:c>
      <x:c r="S52" s="24" t="str">
        <x:f>IF(H52="否","非本次棧板儲位分析對象",IF(R52="是","旺季前需前移並增加棧板位",IF(N52&gt;0,"需增加棧板位",IF(N52&lt;0,"可釋放部分棧板位","維持現況"))))</x:f>
        <x:v>維持現況</x:v>
      </x:c>
    </x:row>
    <x:row r="53">
      <x:c r="A53" s="24" t="str">
        <x:f>'500件商品'!A53</x:f>
        <x:v>PX0049</x:v>
      </x:c>
      <x:c r="B53" s="24" t="str">
        <x:f>'500件商品'!B53</x:f>
        <x:v>地板清潔劑</x:v>
      </x:c>
      <x:c r="C53" s="24" t="str">
        <x:f>'500件商品'!D53</x:f>
        <x:v>Cluster 1</x:v>
      </x:c>
      <x:c r="D53" s="26" t="n">
        <x:f>'500件商品'!F53</x:f>
        <x:v>37</x:v>
      </x:c>
      <x:c r="E53" s="24" t="str">
        <x:f>'500件商品'!K53</x:f>
        <x:v>否</x:v>
      </x:c>
      <x:c r="F53" s="24" t="str">
        <x:f>'500件商品'!L53</x:f>
      </x:c>
      <x:c r="G53" s="28" t="n">
        <x:f>'500件商品'!M53</x:f>
        <x:v>1.1</x:v>
      </x:c>
      <x:c r="H53" s="24" t="str">
        <x:f>'500件商品'!P53</x:f>
        <x:v>是</x:v>
      </x:c>
      <x:c r="I53" s="26" t="n">
        <x:f>'500件商品'!N53</x:f>
        <x:v>141</x:v>
      </x:c>
      <x:c r="J53" s="26" t="n">
        <x:f>'500件商品'!O53</x:f>
        <x:v>60</x:v>
      </x:c>
      <x:c r="K53" s="26" t="n">
        <x:f>IF(H53="是",CEILING(I53/J53,1),0)</x:f>
        <x:v>3</x:v>
      </x:c>
      <x:c r="L53" s="26" t="n">
        <x:f>ROUND(I53*G53,0)</x:f>
        <x:v>155</x:v>
      </x:c>
      <x:c r="M53" s="26" t="n">
        <x:f>IF(H53="是",CEILING(L53/J53,1),0)</x:f>
        <x:v>3</x:v>
      </x:c>
      <x:c r="N53" s="26" t="n">
        <x:f>M53-K53</x:f>
        <x:v>0</x:v>
      </x:c>
      <x:c r="O53" s="24" t="str">
        <x:f>'500件商品'!Q53</x:f>
        <x:v>K區</x:v>
      </x:c>
      <x:c r="P53" s="26" t="n">
        <x:f>'500件商品'!R53</x:f>
        <x:v>44</x:v>
      </x:c>
      <x:c r="Q53" s="24" t="str">
        <x:f>IF(H53="否","非棧板管理",IF(AND(E53="是",N53&gt;0),"季節彈性前移區",IF(OR(C53="Cluster 3",D53&gt;=55),"近端低層棧板區",IF(C53="Cluster 2","中段大貨位",IF(C53="Cluster 4","遠端彈性儲位","中段棧板區")))))</x:f>
        <x:v>中段棧板區</x:v>
      </x:c>
      <x:c r="R53" s="24" t="str">
        <x:f>IF(AND(H53="是",E53="是",N53&gt;0),"是","否")</x:f>
        <x:v>否</x:v>
      </x:c>
      <x:c r="S53" s="24" t="str">
        <x:f>IF(H53="否","非本次棧板儲位分析對象",IF(R53="是","旺季前需前移並增加棧板位",IF(N53&gt;0,"需增加棧板位",IF(N53&lt;0,"可釋放部分棧板位","維持現況"))))</x:f>
        <x:v>維持現況</x:v>
      </x:c>
    </x:row>
    <x:row r="54">
      <x:c r="A54" s="24" t="str">
        <x:f>'500件商品'!A54</x:f>
        <x:v>PX0050</x:v>
      </x:c>
      <x:c r="B54" s="24" t="str">
        <x:f>'500件商品'!B54</x:f>
        <x:v>年節禮盒組</x:v>
      </x:c>
      <x:c r="C54" s="24" t="str">
        <x:f>'500件商品'!D54</x:f>
        <x:v>Cluster 4</x:v>
      </x:c>
      <x:c r="D54" s="26" t="n">
        <x:f>'500件商品'!F54</x:f>
        <x:v>7</x:v>
      </x:c>
      <x:c r="E54" s="24" t="str">
        <x:f>'500件商品'!K54</x:f>
        <x:v>是</x:v>
      </x:c>
      <x:c r="F54" s="24" t="str">
        <x:f>'500件商品'!L54</x:f>
        <x:v>1-2月</x:v>
      </x:c>
      <x:c r="G54" s="28" t="n">
        <x:f>'500件商品'!M54</x:f>
        <x:v>2</x:v>
      </x:c>
      <x:c r="H54" s="24" t="str">
        <x:f>'500件商品'!P54</x:f>
        <x:v>是</x:v>
      </x:c>
      <x:c r="I54" s="26" t="n">
        <x:f>'500件商品'!N54</x:f>
        <x:v>49</x:v>
      </x:c>
      <x:c r="J54" s="26" t="n">
        <x:f>'500件商品'!O54</x:f>
        <x:v>18</x:v>
      </x:c>
      <x:c r="K54" s="26" t="n">
        <x:f>IF(H54="是",CEILING(I54/J54,1),0)</x:f>
        <x:v>3</x:v>
      </x:c>
      <x:c r="L54" s="26" t="n">
        <x:f>ROUND(I54*G54,0)</x:f>
        <x:v>98</x:v>
      </x:c>
      <x:c r="M54" s="26" t="n">
        <x:f>IF(H54="是",CEILING(L54/J54,1),0)</x:f>
        <x:v>6</x:v>
      </x:c>
      <x:c r="N54" s="26" t="n">
        <x:f>M54-K54</x:f>
        <x:v>3</x:v>
      </x:c>
      <x:c r="O54" s="24" t="str">
        <x:f>'500件商品'!Q54</x:f>
        <x:v>A區</x:v>
      </x:c>
      <x:c r="P54" s="26" t="n">
        <x:f>'500件商品'!R54</x:f>
        <x:v>62</x:v>
      </x:c>
      <x:c r="Q54" s="24" t="str">
        <x:f>IF(H54="否","非棧板管理",IF(AND(E54="是",N54&gt;0),"季節彈性前移區",IF(OR(C54="Cluster 3",D54&gt;=55),"近端低層棧板區",IF(C54="Cluster 2","中段大貨位",IF(C54="Cluster 4","遠端彈性儲位","中段棧板區")))))</x:f>
        <x:v>季節彈性前移區</x:v>
      </x:c>
      <x:c r="R54" s="24" t="str">
        <x:f>IF(AND(H54="是",E54="是",N54&gt;0),"是","否")</x:f>
        <x:v>是</x:v>
      </x:c>
      <x:c r="S54" s="24" t="str">
        <x:f>IF(H54="否","非本次棧板儲位分析對象",IF(R54="是","旺季前需前移並增加棧板位",IF(N54&gt;0,"需增加棧板位",IF(N54&lt;0,"可釋放部分棧板位","維持現況"))))</x:f>
        <x:v>旺季前需前移並增加棧板位</x:v>
      </x:c>
    </x:row>
    <x:row r="55">
      <x:c r="A55" s="24" t="str">
        <x:f>'500件商品'!A55</x:f>
        <x:v>PX0051</x:v>
      </x:c>
      <x:c r="B55" s="24" t="str">
        <x:f>'500件商品'!B55</x:f>
        <x:v>瓶裝水600ml-小包裝</x:v>
      </x:c>
      <x:c r="C55" s="24" t="str">
        <x:f>'500件商品'!D55</x:f>
        <x:v>Cluster 2</x:v>
      </x:c>
      <x:c r="D55" s="26" t="n">
        <x:f>'500件商品'!F55</x:f>
        <x:v>51</x:v>
      </x:c>
      <x:c r="E55" s="24" t="str">
        <x:f>'500件商品'!K55</x:f>
        <x:v>否</x:v>
      </x:c>
      <x:c r="F55" s="24" t="str">
        <x:f>'500件商品'!L55</x:f>
      </x:c>
      <x:c r="G55" s="28" t="n">
        <x:f>'500件商品'!M55</x:f>
        <x:v>1.3</x:v>
      </x:c>
      <x:c r="H55" s="24" t="str">
        <x:f>'500件商品'!P55</x:f>
        <x:v>是</x:v>
      </x:c>
      <x:c r="I55" s="26" t="n">
        <x:f>'500件商品'!N55</x:f>
        <x:v>565</x:v>
      </x:c>
      <x:c r="J55" s="26" t="n">
        <x:f>'500件商品'!O55</x:f>
        <x:v>36</x:v>
      </x:c>
      <x:c r="K55" s="26" t="n">
        <x:f>IF(H55="是",CEILING(I55/J55,1),0)</x:f>
        <x:v>16</x:v>
      </x:c>
      <x:c r="L55" s="26" t="n">
        <x:f>ROUND(I55*G55,0)</x:f>
        <x:v>735</x:v>
      </x:c>
      <x:c r="M55" s="26" t="n">
        <x:f>IF(H55="是",CEILING(L55/J55,1),0)</x:f>
        <x:v>21</x:v>
      </x:c>
      <x:c r="N55" s="26" t="n">
        <x:f>M55-K55</x:f>
        <x:v>5</x:v>
      </x:c>
      <x:c r="O55" s="24" t="str">
        <x:f>'500件商品'!Q55</x:f>
        <x:v>彈性區</x:v>
      </x:c>
      <x:c r="P55" s="26" t="n">
        <x:f>'500件商品'!R55</x:f>
        <x:v>45</x:v>
      </x:c>
      <x:c r="Q55" s="24" t="str">
        <x:f>IF(H55="否","非棧板管理",IF(AND(E55="是",N55&gt;0),"季節彈性前移區",IF(OR(C55="Cluster 3",D55&gt;=55),"近端低層棧板區",IF(C55="Cluster 2","中段大貨位",IF(C55="Cluster 4","遠端彈性儲位","中段棧板區")))))</x:f>
        <x:v>中段大貨位</x:v>
      </x:c>
      <x:c r="R55" s="24" t="str">
        <x:f>IF(AND(H55="是",E55="是",N55&gt;0),"是","否")</x:f>
        <x:v>否</x:v>
      </x:c>
      <x:c r="S55" s="24" t="str">
        <x:f>IF(H55="否","非本次棧板儲位分析對象",IF(R55="是","旺季前需前移並增加棧板位",IF(N55&gt;0,"需增加棧板位",IF(N55&lt;0,"可釋放部分棧板位","維持現況"))))</x:f>
        <x:v>需增加棧板位</x:v>
      </x:c>
    </x:row>
    <x:row r="56">
      <x:c r="A56" s="24" t="str">
        <x:f>'500件商品'!A56</x:f>
        <x:v>PX0052</x:v>
      </x:c>
      <x:c r="B56" s="24" t="str">
        <x:f>'500件商品'!B56</x:f>
        <x:v>家庭號礦泉水-家庭號</x:v>
      </x:c>
      <x:c r="C56" s="24" t="str">
        <x:f>'500件商品'!D56</x:f>
        <x:v>Cluster 3</x:v>
      </x:c>
      <x:c r="D56" s="26" t="n">
        <x:f>'500件商品'!F56</x:f>
        <x:v>90</x:v>
      </x:c>
      <x:c r="E56" s="24" t="str">
        <x:f>'500件商品'!K56</x:f>
        <x:v>否</x:v>
      </x:c>
      <x:c r="F56" s="24" t="str">
        <x:f>'500件商品'!L56</x:f>
      </x:c>
      <x:c r="G56" s="28" t="n">
        <x:f>'500件商品'!M56</x:f>
        <x:v>1.3</x:v>
      </x:c>
      <x:c r="H56" s="24" t="str">
        <x:f>'500件商品'!P56</x:f>
        <x:v>是</x:v>
      </x:c>
      <x:c r="I56" s="26" t="n">
        <x:f>'500件商品'!N56</x:f>
        <x:v>319</x:v>
      </x:c>
      <x:c r="J56" s="26" t="n">
        <x:f>'500件商品'!O56</x:f>
        <x:v>48</x:v>
      </x:c>
      <x:c r="K56" s="26" t="n">
        <x:f>IF(H56="是",CEILING(I56/J56,1),0)</x:f>
        <x:v>7</x:v>
      </x:c>
      <x:c r="L56" s="26" t="n">
        <x:f>ROUND(I56*G56,0)</x:f>
        <x:v>415</x:v>
      </x:c>
      <x:c r="M56" s="26" t="n">
        <x:f>IF(H56="是",CEILING(L56/J56,1),0)</x:f>
        <x:v>9</x:v>
      </x:c>
      <x:c r="N56" s="26" t="n">
        <x:f>M56-K56</x:f>
        <x:v>2</x:v>
      </x:c>
      <x:c r="O56" s="24" t="str">
        <x:f>'500件商品'!Q56</x:f>
        <x:v>彈性區</x:v>
      </x:c>
      <x:c r="P56" s="26" t="n">
        <x:f>'500件商品'!R56</x:f>
        <x:v>53</x:v>
      </x:c>
      <x:c r="Q56" s="24" t="str">
        <x:f>IF(H56="否","非棧板管理",IF(AND(E56="是",N56&gt;0),"季節彈性前移區",IF(OR(C56="Cluster 3",D56&gt;=55),"近端低層棧板區",IF(C56="Cluster 2","中段大貨位",IF(C56="Cluster 4","遠端彈性儲位","中段棧板區")))))</x:f>
        <x:v>近端低層棧板區</x:v>
      </x:c>
      <x:c r="R56" s="24" t="str">
        <x:f>IF(AND(H56="是",E56="是",N56&gt;0),"是","否")</x:f>
        <x:v>否</x:v>
      </x:c>
      <x:c r="S56" s="24" t="str">
        <x:f>IF(H56="否","非本次棧板儲位分析對象",IF(R56="是","旺季前需前移並增加棧板位",IF(N56&gt;0,"需增加棧板位",IF(N56&lt;0,"可釋放部分棧板位","維持現況"))))</x:f>
        <x:v>需增加棧板位</x:v>
      </x:c>
    </x:row>
    <x:row r="57">
      <x:c r="A57" s="24" t="str">
        <x:f>'500件商品'!A57</x:f>
        <x:v>PX0053</x:v>
      </x:c>
      <x:c r="B57" s="24" t="str">
        <x:f>'500件商品'!B57</x:f>
        <x:v>捲筒衛生紙-小包裝</x:v>
      </x:c>
      <x:c r="C57" s="24" t="str">
        <x:f>'500件商品'!D57</x:f>
        <x:v>Cluster 2</x:v>
      </x:c>
      <x:c r="D57" s="26" t="n">
        <x:f>'500件商品'!F57</x:f>
        <x:v>66</x:v>
      </x:c>
      <x:c r="E57" s="24" t="str">
        <x:f>'500件商品'!K57</x:f>
        <x:v>否</x:v>
      </x:c>
      <x:c r="F57" s="24" t="str">
        <x:f>'500件商品'!L57</x:f>
      </x:c>
      <x:c r="G57" s="28" t="n">
        <x:f>'500件商品'!M57</x:f>
        <x:v>1.1</x:v>
      </x:c>
      <x:c r="H57" s="24" t="str">
        <x:f>'500件商品'!P57</x:f>
        <x:v>是</x:v>
      </x:c>
      <x:c r="I57" s="26" t="n">
        <x:f>'500件商品'!N57</x:f>
        <x:v>696</x:v>
      </x:c>
      <x:c r="J57" s="26" t="n">
        <x:f>'500件商品'!O57</x:f>
        <x:v>24</x:v>
      </x:c>
      <x:c r="K57" s="26" t="n">
        <x:f>IF(H57="是",CEILING(I57/J57,1),0)</x:f>
        <x:v>29</x:v>
      </x:c>
      <x:c r="L57" s="26" t="n">
        <x:f>ROUND(I57*G57,0)</x:f>
        <x:v>766</x:v>
      </x:c>
      <x:c r="M57" s="26" t="n">
        <x:f>IF(H57="是",CEILING(L57/J57,1),0)</x:f>
        <x:v>32</x:v>
      </x:c>
      <x:c r="N57" s="26" t="n">
        <x:f>M57-K57</x:f>
        <x:v>3</x:v>
      </x:c>
      <x:c r="O57" s="24" t="str">
        <x:f>'500件商品'!Q57</x:f>
        <x:v>A區</x:v>
      </x:c>
      <x:c r="P57" s="26" t="n">
        <x:f>'500件商品'!R57</x:f>
        <x:v>20</x:v>
      </x:c>
      <x:c r="Q57" s="24" t="str">
        <x:f>IF(H57="否","非棧板管理",IF(AND(E57="是",N57&gt;0),"季節彈性前移區",IF(OR(C57="Cluster 3",D57&gt;=55),"近端低層棧板區",IF(C57="Cluster 2","中段大貨位",IF(C57="Cluster 4","遠端彈性儲位","中段棧板區")))))</x:f>
        <x:v>近端低層棧板區</x:v>
      </x:c>
      <x:c r="R57" s="24" t="str">
        <x:f>IF(AND(H57="是",E57="是",N57&gt;0),"是","否")</x:f>
        <x:v>否</x:v>
      </x:c>
      <x:c r="S57" s="24" t="str">
        <x:f>IF(H57="否","非本次棧板儲位分析對象",IF(R57="是","旺季前需前移並增加棧板位",IF(N57&gt;0,"需增加棧板位",IF(N57&lt;0,"可釋放部分棧板位","維持現況"))))</x:f>
        <x:v>需增加棧板位</x:v>
      </x:c>
    </x:row>
    <x:row r="58">
      <x:c r="A58" s="24" t="str">
        <x:f>'500件商品'!A58</x:f>
        <x:v>PX0054</x:v>
      </x:c>
      <x:c r="B58" s="24" t="str">
        <x:f>'500件商品'!B58</x:f>
        <x:v>沐浴乳-小包裝</x:v>
      </x:c>
      <x:c r="C58" s="24" t="str">
        <x:f>'500件商品'!D58</x:f>
        <x:v>Cluster 3</x:v>
      </x:c>
      <x:c r="D58" s="26" t="n">
        <x:f>'500件商品'!F58</x:f>
        <x:v>80</x:v>
      </x:c>
      <x:c r="E58" s="24" t="str">
        <x:f>'500件商品'!K58</x:f>
        <x:v>否</x:v>
      </x:c>
      <x:c r="F58" s="24" t="str">
        <x:f>'500件商品'!L58</x:f>
      </x:c>
      <x:c r="G58" s="28" t="n">
        <x:f>'500件商品'!M58</x:f>
        <x:v>1</x:v>
      </x:c>
      <x:c r="H58" s="24" t="str">
        <x:f>'500件商品'!P58</x:f>
        <x:v>是</x:v>
      </x:c>
      <x:c r="I58" s="26" t="n">
        <x:f>'500件商品'!N58</x:f>
        <x:v>196</x:v>
      </x:c>
      <x:c r="J58" s="26" t="n">
        <x:f>'500件商品'!O58</x:f>
        <x:v>20</x:v>
      </x:c>
      <x:c r="K58" s="26" t="n">
        <x:f>IF(H58="是",CEILING(I58/J58,1),0)</x:f>
        <x:v>10</x:v>
      </x:c>
      <x:c r="L58" s="26" t="n">
        <x:f>ROUND(I58*G58,0)</x:f>
        <x:v>196</x:v>
      </x:c>
      <x:c r="M58" s="26" t="n">
        <x:f>IF(H58="是",CEILING(L58/J58,1),0)</x:f>
        <x:v>10</x:v>
      </x:c>
      <x:c r="N58" s="26" t="n">
        <x:f>M58-K58</x:f>
        <x:v>0</x:v>
      </x:c>
      <x:c r="O58" s="24" t="str">
        <x:f>'500件商品'!Q58</x:f>
        <x:v>3區</x:v>
      </x:c>
      <x:c r="P58" s="26" t="n">
        <x:f>'500件商品'!R58</x:f>
        <x:v>41</x:v>
      </x:c>
      <x:c r="Q58" s="24" t="str">
        <x:f>IF(H58="否","非棧板管理",IF(AND(E58="是",N58&gt;0),"季節彈性前移區",IF(OR(C58="Cluster 3",D58&gt;=55),"近端低層棧板區",IF(C58="Cluster 2","中段大貨位",IF(C58="Cluster 4","遠端彈性儲位","中段棧板區")))))</x:f>
        <x:v>近端低層棧板區</x:v>
      </x:c>
      <x:c r="R58" s="24" t="str">
        <x:f>IF(AND(H58="是",E58="是",N58&gt;0),"是","否")</x:f>
        <x:v>否</x:v>
      </x:c>
      <x:c r="S58" s="24" t="str">
        <x:f>IF(H58="否","非本次棧板儲位分析對象",IF(R58="是","旺季前需前移並增加棧板位",IF(N58&gt;0,"需增加棧板位",IF(N58&lt;0,"可釋放部分棧板位","維持現況"))))</x:f>
        <x:v>維持現況</x:v>
      </x:c>
    </x:row>
    <x:row r="59">
      <x:c r="A59" s="24" t="str">
        <x:f>'500件商品'!A59</x:f>
        <x:v>PX0055</x:v>
      </x:c>
      <x:c r="B59" s="24" t="str">
        <x:f>'500件商品'!B59</x:f>
        <x:v>擦手紙箱-家庭號</x:v>
      </x:c>
      <x:c r="C59" s="24" t="str">
        <x:f>'500件商品'!D59</x:f>
        <x:v>Cluster 2</x:v>
      </x:c>
      <x:c r="D59" s="26" t="n">
        <x:f>'500件商品'!F59</x:f>
        <x:v>62</x:v>
      </x:c>
      <x:c r="E59" s="24" t="str">
        <x:f>'500件商品'!K59</x:f>
        <x:v>否</x:v>
      </x:c>
      <x:c r="F59" s="24" t="str">
        <x:f>'500件商品'!L59</x:f>
      </x:c>
      <x:c r="G59" s="28" t="n">
        <x:f>'500件商品'!M59</x:f>
        <x:v>1.1</x:v>
      </x:c>
      <x:c r="H59" s="24" t="str">
        <x:f>'500件商品'!P59</x:f>
        <x:v>是</x:v>
      </x:c>
      <x:c r="I59" s="26" t="n">
        <x:f>'500件商品'!N59</x:f>
        <x:v>503</x:v>
      </x:c>
      <x:c r="J59" s="26" t="n">
        <x:f>'500件商品'!O59</x:f>
        <x:v>30</x:v>
      </x:c>
      <x:c r="K59" s="26" t="n">
        <x:f>IF(H59="是",CEILING(I59/J59,1),0)</x:f>
        <x:v>17</x:v>
      </x:c>
      <x:c r="L59" s="26" t="n">
        <x:f>ROUND(I59*G59,0)</x:f>
        <x:v>553</x:v>
      </x:c>
      <x:c r="M59" s="26" t="n">
        <x:f>IF(H59="是",CEILING(L59/J59,1),0)</x:f>
        <x:v>19</x:v>
      </x:c>
      <x:c r="N59" s="26" t="n">
        <x:f>M59-K59</x:f>
        <x:v>2</x:v>
      </x:c>
      <x:c r="O59" s="24" t="str">
        <x:f>'500件商品'!Q59</x:f>
        <x:v>K區</x:v>
      </x:c>
      <x:c r="P59" s="26" t="n">
        <x:f>'500件商品'!R59</x:f>
        <x:v>49</x:v>
      </x:c>
      <x:c r="Q59" s="24" t="str">
        <x:f>IF(H59="否","非棧板管理",IF(AND(E59="是",N59&gt;0),"季節彈性前移區",IF(OR(C59="Cluster 3",D59&gt;=55),"近端低層棧板區",IF(C59="Cluster 2","中段大貨位",IF(C59="Cluster 4","遠端彈性儲位","中段棧板區")))))</x:f>
        <x:v>近端低層棧板區</x:v>
      </x:c>
      <x:c r="R59" s="24" t="str">
        <x:f>IF(AND(H59="是",E59="是",N59&gt;0),"是","否")</x:f>
        <x:v>否</x:v>
      </x:c>
      <x:c r="S59" s="24" t="str">
        <x:f>IF(H59="否","非本次棧板儲位分析對象",IF(R59="是","旺季前需前移並增加棧板位",IF(N59&gt;0,"需增加棧板位",IF(N59&lt;0,"可釋放部分棧板位","維持現況"))))</x:f>
        <x:v>需增加棧板位</x:v>
      </x:c>
    </x:row>
    <x:row r="60">
      <x:c r="A60" s="24" t="str">
        <x:f>'500件商品'!A60</x:f>
        <x:v>PX0056</x:v>
      </x:c>
      <x:c r="B60" s="24" t="str">
        <x:f>'500件商品'!B60</x:f>
        <x:v>洗髮精-箱裝</x:v>
      </x:c>
      <x:c r="C60" s="24" t="str">
        <x:f>'500件商品'!D60</x:f>
        <x:v>Cluster 3</x:v>
      </x:c>
      <x:c r="D60" s="26" t="n">
        <x:f>'500件商品'!F60</x:f>
        <x:v>69</x:v>
      </x:c>
      <x:c r="E60" s="24" t="str">
        <x:f>'500件商品'!K60</x:f>
        <x:v>否</x:v>
      </x:c>
      <x:c r="F60" s="24" t="str">
        <x:f>'500件商品'!L60</x:f>
      </x:c>
      <x:c r="G60" s="28" t="n">
        <x:f>'500件商品'!M60</x:f>
        <x:v>1.1</x:v>
      </x:c>
      <x:c r="H60" s="24" t="str">
        <x:f>'500件商品'!P60</x:f>
        <x:v>是</x:v>
      </x:c>
      <x:c r="I60" s="26" t="n">
        <x:f>'500件商品'!N60</x:f>
        <x:v>420</x:v>
      </x:c>
      <x:c r="J60" s="26" t="n">
        <x:f>'500件商品'!O60</x:f>
        <x:v>72</x:v>
      </x:c>
      <x:c r="K60" s="26" t="n">
        <x:f>IF(H60="是",CEILING(I60/J60,1),0)</x:f>
        <x:v>6</x:v>
      </x:c>
      <x:c r="L60" s="26" t="n">
        <x:f>ROUND(I60*G60,0)</x:f>
        <x:v>462</x:v>
      </x:c>
      <x:c r="M60" s="26" t="n">
        <x:f>IF(H60="是",CEILING(L60/J60,1),0)</x:f>
        <x:v>7</x:v>
      </x:c>
      <x:c r="N60" s="26" t="n">
        <x:f>M60-K60</x:f>
        <x:v>1</x:v>
      </x:c>
      <x:c r="O60" s="24" t="str">
        <x:f>'500件商品'!Q60</x:f>
        <x:v>3區</x:v>
      </x:c>
      <x:c r="P60" s="26" t="n">
        <x:f>'500件商品'!R60</x:f>
        <x:v>47</x:v>
      </x:c>
      <x:c r="Q60" s="24" t="str">
        <x:f>IF(H60="否","非棧板管理",IF(AND(E60="是",N60&gt;0),"季節彈性前移區",IF(OR(C60="Cluster 3",D60&gt;=55),"近端低層棧板區",IF(C60="Cluster 2","中段大貨位",IF(C60="Cluster 4","遠端彈性儲位","中段棧板區")))))</x:f>
        <x:v>近端低層棧板區</x:v>
      </x:c>
      <x:c r="R60" s="24" t="str">
        <x:f>IF(AND(H60="是",E60="是",N60&gt;0),"是","否")</x:f>
        <x:v>否</x:v>
      </x:c>
      <x:c r="S60" s="24" t="str">
        <x:f>IF(H60="否","非本次棧板儲位分析對象",IF(R60="是","旺季前需前移並增加棧板位",IF(N60&gt;0,"需增加棧板位",IF(N60&lt;0,"可釋放部分棧板位","維持現況"))))</x:f>
        <x:v>需增加棧板位</x:v>
      </x:c>
    </x:row>
    <x:row r="61">
      <x:c r="A61" s="24" t="str">
        <x:f>'500件商品'!A61</x:f>
        <x:v>PX0057</x:v>
      </x:c>
      <x:c r="B61" s="24" t="str">
        <x:f>'500件商品'!B61</x:f>
        <x:v>柔軟精-標準箱</x:v>
      </x:c>
      <x:c r="C61" s="24" t="str">
        <x:f>'500件商品'!D61</x:f>
        <x:v>Cluster 3</x:v>
      </x:c>
      <x:c r="D61" s="26" t="n">
        <x:f>'500件商品'!F61</x:f>
        <x:v>90</x:v>
      </x:c>
      <x:c r="E61" s="24" t="str">
        <x:f>'500件商品'!K61</x:f>
        <x:v>否</x:v>
      </x:c>
      <x:c r="F61" s="24" t="str">
        <x:f>'500件商品'!L61</x:f>
      </x:c>
      <x:c r="G61" s="28" t="n">
        <x:f>'500件商品'!M61</x:f>
        <x:v>1</x:v>
      </x:c>
      <x:c r="H61" s="24" t="str">
        <x:f>'500件商品'!P61</x:f>
        <x:v>是</x:v>
      </x:c>
      <x:c r="I61" s="26" t="n">
        <x:f>'500件商品'!N61</x:f>
        <x:v>574</x:v>
      </x:c>
      <x:c r="J61" s="26" t="n">
        <x:f>'500件商品'!O61</x:f>
        <x:v>80</x:v>
      </x:c>
      <x:c r="K61" s="26" t="n">
        <x:f>IF(H61="是",CEILING(I61/J61,1),0)</x:f>
        <x:v>8</x:v>
      </x:c>
      <x:c r="L61" s="26" t="n">
        <x:f>ROUND(I61*G61,0)</x:f>
        <x:v>574</x:v>
      </x:c>
      <x:c r="M61" s="26" t="n">
        <x:f>IF(H61="是",CEILING(L61/J61,1),0)</x:f>
        <x:v>8</x:v>
      </x:c>
      <x:c r="N61" s="26" t="n">
        <x:f>M61-K61</x:f>
        <x:v>0</x:v>
      </x:c>
      <x:c r="O61" s="24" t="str">
        <x:f>'500件商品'!Q61</x:f>
        <x:v>3區</x:v>
      </x:c>
      <x:c r="P61" s="26" t="n">
        <x:f>'500件商品'!R61</x:f>
        <x:v>45</x:v>
      </x:c>
      <x:c r="Q61" s="24" t="str">
        <x:f>IF(H61="否","非棧板管理",IF(AND(E61="是",N61&gt;0),"季節彈性前移區",IF(OR(C61="Cluster 3",D61&gt;=55),"近端低層棧板區",IF(C61="Cluster 2","中段大貨位",IF(C61="Cluster 4","遠端彈性儲位","中段棧板區")))))</x:f>
        <x:v>近端低層棧板區</x:v>
      </x:c>
      <x:c r="R61" s="24" t="str">
        <x:f>IF(AND(H61="是",E61="是",N61&gt;0),"是","否")</x:f>
        <x:v>否</x:v>
      </x:c>
      <x:c r="S61" s="24" t="str">
        <x:f>IF(H61="否","非本次棧板儲位分析對象",IF(R61="是","旺季前需前移並增加棧板位",IF(N61&gt;0,"需增加棧板位",IF(N61&lt;0,"可釋放部分棧板位","維持現況"))))</x:f>
        <x:v>維持現況</x:v>
      </x:c>
    </x:row>
    <x:row r="62">
      <x:c r="A62" s="24" t="str">
        <x:f>'500件商品'!A62</x:f>
        <x:v>PX0058</x:v>
      </x:c>
      <x:c r="B62" s="24" t="str">
        <x:f>'500件商品'!B62</x:f>
        <x:v>食用油-家庭號</x:v>
      </x:c>
      <x:c r="C62" s="24" t="str">
        <x:f>'500件商品'!D62</x:f>
        <x:v>Cluster 3</x:v>
      </x:c>
      <x:c r="D62" s="26" t="n">
        <x:f>'500件商品'!F62</x:f>
        <x:v>72</x:v>
      </x:c>
      <x:c r="E62" s="24" t="str">
        <x:f>'500件商品'!K62</x:f>
        <x:v>否</x:v>
      </x:c>
      <x:c r="F62" s="24" t="str">
        <x:f>'500件商品'!L62</x:f>
      </x:c>
      <x:c r="G62" s="28" t="n">
        <x:f>'500件商品'!M62</x:f>
        <x:v>1</x:v>
      </x:c>
      <x:c r="H62" s="24" t="str">
        <x:f>'500件商品'!P62</x:f>
        <x:v>是</x:v>
      </x:c>
      <x:c r="I62" s="26" t="n">
        <x:f>'500件商品'!N62</x:f>
        <x:v>448</x:v>
      </x:c>
      <x:c r="J62" s="26" t="n">
        <x:f>'500件商品'!O62</x:f>
        <x:v>36</x:v>
      </x:c>
      <x:c r="K62" s="26" t="n">
        <x:f>IF(H62="是",CEILING(I62/J62,1),0)</x:f>
        <x:v>13</x:v>
      </x:c>
      <x:c r="L62" s="26" t="n">
        <x:f>ROUND(I62*G62,0)</x:f>
        <x:v>448</x:v>
      </x:c>
      <x:c r="M62" s="26" t="n">
        <x:f>IF(H62="是",CEILING(L62/J62,1),0)</x:f>
        <x:v>13</x:v>
      </x:c>
      <x:c r="N62" s="26" t="n">
        <x:f>M62-K62</x:f>
        <x:v>0</x:v>
      </x:c>
      <x:c r="O62" s="24" t="str">
        <x:f>'500件商品'!Q62</x:f>
        <x:v>遠端區</x:v>
      </x:c>
      <x:c r="P62" s="26" t="n">
        <x:f>'500件商品'!R62</x:f>
        <x:v>71</x:v>
      </x:c>
      <x:c r="Q62" s="24" t="str">
        <x:f>IF(H62="否","非棧板管理",IF(AND(E62="是",N62&gt;0),"季節彈性前移區",IF(OR(C62="Cluster 3",D62&gt;=55),"近端低層棧板區",IF(C62="Cluster 2","中段大貨位",IF(C62="Cluster 4","遠端彈性儲位","中段棧板區")))))</x:f>
        <x:v>近端低層棧板區</x:v>
      </x:c>
      <x:c r="R62" s="24" t="str">
        <x:f>IF(AND(H62="是",E62="是",N62&gt;0),"是","否")</x:f>
        <x:v>否</x:v>
      </x:c>
      <x:c r="S62" s="24" t="str">
        <x:f>IF(H62="否","非本次棧板儲位分析對象",IF(R62="是","旺季前需前移並增加棧板位",IF(N62&gt;0,"需增加棧板位",IF(N62&lt;0,"可釋放部分棧板位","維持現況"))))</x:f>
        <x:v>維持現況</x:v>
      </x:c>
    </x:row>
    <x:row r="63">
      <x:c r="A63" s="24" t="str">
        <x:f>'500件商品'!A63</x:f>
        <x:v>PX0059</x:v>
      </x:c>
      <x:c r="B63" s="24" t="str">
        <x:f>'500件商品'!B63</x:f>
        <x:v>果汁飲料整箱-標準箱</x:v>
      </x:c>
      <x:c r="C63" s="24" t="str">
        <x:f>'500件商品'!D63</x:f>
        <x:v>Cluster 3</x:v>
      </x:c>
      <x:c r="D63" s="26" t="n">
        <x:f>'500件商品'!F63</x:f>
        <x:v>88</x:v>
      </x:c>
      <x:c r="E63" s="24" t="str">
        <x:f>'500件商品'!K63</x:f>
        <x:v>否</x:v>
      </x:c>
      <x:c r="F63" s="24" t="str">
        <x:f>'500件商品'!L63</x:f>
      </x:c>
      <x:c r="G63" s="28" t="n">
        <x:f>'500件商品'!M63</x:f>
        <x:v>1.3</x:v>
      </x:c>
      <x:c r="H63" s="24" t="str">
        <x:f>'500件商品'!P63</x:f>
        <x:v>是</x:v>
      </x:c>
      <x:c r="I63" s="26" t="n">
        <x:f>'500件商品'!N63</x:f>
        <x:v>251</x:v>
      </x:c>
      <x:c r="J63" s="26" t="n">
        <x:f>'500件商品'!O63</x:f>
        <x:v>40</x:v>
      </x:c>
      <x:c r="K63" s="26" t="n">
        <x:f>IF(H63="是",CEILING(I63/J63,1),0)</x:f>
        <x:v>7</x:v>
      </x:c>
      <x:c r="L63" s="26" t="n">
        <x:f>ROUND(I63*G63,0)</x:f>
        <x:v>326</x:v>
      </x:c>
      <x:c r="M63" s="26" t="n">
        <x:f>IF(H63="是",CEILING(L63/J63,1),0)</x:f>
        <x:v>9</x:v>
      </x:c>
      <x:c r="N63" s="26" t="n">
        <x:f>M63-K63</x:f>
        <x:v>2</x:v>
      </x:c>
      <x:c r="O63" s="24" t="str">
        <x:f>'500件商品'!Q63</x:f>
        <x:v>K區</x:v>
      </x:c>
      <x:c r="P63" s="26" t="n">
        <x:f>'500件商品'!R63</x:f>
        <x:v>50</x:v>
      </x:c>
      <x:c r="Q63" s="24" t="str">
        <x:f>IF(H63="否","非棧板管理",IF(AND(E63="是",N63&gt;0),"季節彈性前移區",IF(OR(C63="Cluster 3",D63&gt;=55),"近端低層棧板區",IF(C63="Cluster 2","中段大貨位",IF(C63="Cluster 4","遠端彈性儲位","中段棧板區")))))</x:f>
        <x:v>近端低層棧板區</x:v>
      </x:c>
      <x:c r="R63" s="24" t="str">
        <x:f>IF(AND(H63="是",E63="是",N63&gt;0),"是","否")</x:f>
        <x:v>否</x:v>
      </x:c>
      <x:c r="S63" s="24" t="str">
        <x:f>IF(H63="否","非本次棧板儲位分析對象",IF(R63="是","旺季前需前移並增加棧板位",IF(N63&gt;0,"需增加棧板位",IF(N63&lt;0,"可釋放部分棧板位","維持現況"))))</x:f>
        <x:v>需增加棧板位</x:v>
      </x:c>
    </x:row>
    <x:row r="64">
      <x:c r="A64" s="24" t="str">
        <x:f>'500件商品'!A64</x:f>
        <x:v>PX0060</x:v>
      </x:c>
      <x:c r="B64" s="24" t="str">
        <x:f>'500件商品'!B64</x:f>
        <x:v>寵物尿布墊-箱裝</x:v>
      </x:c>
      <x:c r="C64" s="24" t="str">
        <x:f>'500件商品'!D64</x:f>
        <x:v>Cluster 2</x:v>
      </x:c>
      <x:c r="D64" s="26" t="n">
        <x:f>'500件商品'!F64</x:f>
        <x:v>79</x:v>
      </x:c>
      <x:c r="E64" s="24" t="str">
        <x:f>'500件商品'!K64</x:f>
        <x:v>否</x:v>
      </x:c>
      <x:c r="F64" s="24" t="str">
        <x:f>'500件商品'!L64</x:f>
      </x:c>
      <x:c r="G64" s="28" t="n">
        <x:f>'500件商品'!M64</x:f>
        <x:v>1</x:v>
      </x:c>
      <x:c r="H64" s="24" t="str">
        <x:f>'500件商品'!P64</x:f>
        <x:v>是</x:v>
      </x:c>
      <x:c r="I64" s="26" t="n">
        <x:f>'500件商品'!N64</x:f>
        <x:v>576</x:v>
      </x:c>
      <x:c r="J64" s="26" t="n">
        <x:f>'500件商品'!O64</x:f>
        <x:v>24</x:v>
      </x:c>
      <x:c r="K64" s="26" t="n">
        <x:f>IF(H64="是",CEILING(I64/J64,1),0)</x:f>
        <x:v>24</x:v>
      </x:c>
      <x:c r="L64" s="26" t="n">
        <x:f>ROUND(I64*G64,0)</x:f>
        <x:v>576</x:v>
      </x:c>
      <x:c r="M64" s="26" t="n">
        <x:f>IF(H64="是",CEILING(L64/J64,1),0)</x:f>
        <x:v>24</x:v>
      </x:c>
      <x:c r="N64" s="26" t="n">
        <x:f>M64-K64</x:f>
        <x:v>0</x:v>
      </x:c>
      <x:c r="O64" s="24" t="str">
        <x:f>'500件商品'!Q64</x:f>
        <x:v>3區</x:v>
      </x:c>
      <x:c r="P64" s="26" t="n">
        <x:f>'500件商品'!R64</x:f>
        <x:v>33</x:v>
      </x:c>
      <x:c r="Q64" s="24" t="str">
        <x:f>IF(H64="否","非棧板管理",IF(AND(E64="是",N64&gt;0),"季節彈性前移區",IF(OR(C64="Cluster 3",D64&gt;=55),"近端低層棧板區",IF(C64="Cluster 2","中段大貨位",IF(C64="Cluster 4","遠端彈性儲位","中段棧板區")))))</x:f>
        <x:v>近端低層棧板區</x:v>
      </x:c>
      <x:c r="R64" s="24" t="str">
        <x:f>IF(AND(H64="是",E64="是",N64&gt;0),"是","否")</x:f>
        <x:v>否</x:v>
      </x:c>
      <x:c r="S64" s="24" t="str">
        <x:f>IF(H64="否","非本次棧板儲位分析對象",IF(R64="是","旺季前需前移並增加棧板位",IF(N64&gt;0,"需增加棧板位",IF(N64&lt;0,"可釋放部分棧板位","維持現況"))))</x:f>
        <x:v>維持現況</x:v>
      </x:c>
    </x:row>
    <x:row r="65">
      <x:c r="A65" s="24" t="str">
        <x:f>'500件商品'!A65</x:f>
        <x:v>PX0061</x:v>
      </x:c>
      <x:c r="B65" s="24" t="str">
        <x:f>'500件商品'!B65</x:f>
        <x:v>備用耗材-小包裝</x:v>
      </x:c>
      <x:c r="C65" s="24" t="str">
        <x:f>'500件商品'!D65</x:f>
        <x:v>Cluster 5</x:v>
      </x:c>
      <x:c r="D65" s="26" t="n">
        <x:f>'500件商品'!F65</x:f>
        <x:v>85</x:v>
      </x:c>
      <x:c r="E65" s="24" t="str">
        <x:f>'500件商品'!K65</x:f>
        <x:v>否</x:v>
      </x:c>
      <x:c r="F65" s="24" t="str">
        <x:f>'500件商品'!L65</x:f>
      </x:c>
      <x:c r="G65" s="28" t="n">
        <x:f>'500件商品'!M65</x:f>
        <x:v>1</x:v>
      </x:c>
      <x:c r="H65" s="24" t="str">
        <x:f>'500件商品'!P65</x:f>
        <x:v>是</x:v>
      </x:c>
      <x:c r="I65" s="26" t="n">
        <x:f>'500件商品'!N65</x:f>
        <x:v>227</x:v>
      </x:c>
      <x:c r="J65" s="26" t="n">
        <x:f>'500件商品'!O65</x:f>
        <x:v>72</x:v>
      </x:c>
      <x:c r="K65" s="26" t="n">
        <x:f>IF(H65="是",CEILING(I65/J65,1),0)</x:f>
        <x:v>4</x:v>
      </x:c>
      <x:c r="L65" s="26" t="n">
        <x:f>ROUND(I65*G65,0)</x:f>
        <x:v>227</x:v>
      </x:c>
      <x:c r="M65" s="26" t="n">
        <x:f>IF(H65="是",CEILING(L65/J65,1),0)</x:f>
        <x:v>4</x:v>
      </x:c>
      <x:c r="N65" s="26" t="n">
        <x:f>M65-K65</x:f>
        <x:v>0</x:v>
      </x:c>
      <x:c r="O65" s="24" t="str">
        <x:f>'500件商品'!Q65</x:f>
        <x:v>3區</x:v>
      </x:c>
      <x:c r="P65" s="26" t="n">
        <x:f>'500件商品'!R65</x:f>
        <x:v>49</x:v>
      </x:c>
      <x:c r="Q65" s="24" t="str">
        <x:f>IF(H65="否","非棧板管理",IF(AND(E65="是",N65&gt;0),"季節彈性前移區",IF(OR(C65="Cluster 3",D65&gt;=55),"近端低層棧板區",IF(C65="Cluster 2","中段大貨位",IF(C65="Cluster 4","遠端彈性儲位","中段棧板區")))))</x:f>
        <x:v>近端低層棧板區</x:v>
      </x:c>
      <x:c r="R65" s="24" t="str">
        <x:f>IF(AND(H65="是",E65="是",N65&gt;0),"是","否")</x:f>
        <x:v>否</x:v>
      </x:c>
      <x:c r="S65" s="24" t="str">
        <x:f>IF(H65="否","非本次棧板儲位分析對象",IF(R65="是","旺季前需前移並增加棧板位",IF(N65&gt;0,"需增加棧板位",IF(N65&lt;0,"可釋放部分棧板位","維持現況"))))</x:f>
        <x:v>維持現況</x:v>
      </x:c>
    </x:row>
    <x:row r="66">
      <x:c r="A66" s="24" t="str">
        <x:f>'500件商品'!A66</x:f>
        <x:v>PX0062</x:v>
      </x:c>
      <x:c r="B66" s="24" t="str">
        <x:f>'500件商品'!B66</x:f>
        <x:v>餅乾箱-箱裝</x:v>
      </x:c>
      <x:c r="C66" s="24" t="str">
        <x:f>'500件商品'!D66</x:f>
        <x:v>Cluster 5</x:v>
      </x:c>
      <x:c r="D66" s="26" t="n">
        <x:f>'500件商品'!F66</x:f>
        <x:v>64</x:v>
      </x:c>
      <x:c r="E66" s="24" t="str">
        <x:f>'500件商品'!K66</x:f>
        <x:v>否</x:v>
      </x:c>
      <x:c r="F66" s="24" t="str">
        <x:f>'500件商品'!L66</x:f>
      </x:c>
      <x:c r="G66" s="28" t="n">
        <x:f>'500件商品'!M66</x:f>
        <x:v>1</x:v>
      </x:c>
      <x:c r="H66" s="24" t="str">
        <x:f>'500件商品'!P66</x:f>
        <x:v>是</x:v>
      </x:c>
      <x:c r="I66" s="26" t="n">
        <x:f>'500件商品'!N66</x:f>
        <x:v>613</x:v>
      </x:c>
      <x:c r="J66" s="26" t="n">
        <x:f>'500件商品'!O66</x:f>
        <x:v>60</x:v>
      </x:c>
      <x:c r="K66" s="26" t="n">
        <x:f>IF(H66="是",CEILING(I66/J66,1),0)</x:f>
        <x:v>11</x:v>
      </x:c>
      <x:c r="L66" s="26" t="n">
        <x:f>ROUND(I66*G66,0)</x:f>
        <x:v>613</x:v>
      </x:c>
      <x:c r="M66" s="26" t="n">
        <x:f>IF(H66="是",CEILING(L66/J66,1),0)</x:f>
        <x:v>11</x:v>
      </x:c>
      <x:c r="N66" s="26" t="n">
        <x:f>M66-K66</x:f>
        <x:v>0</x:v>
      </x:c>
      <x:c r="O66" s="24" t="str">
        <x:f>'500件商品'!Q66</x:f>
        <x:v>1區</x:v>
      </x:c>
      <x:c r="P66" s="26" t="n">
        <x:f>'500件商品'!R66</x:f>
        <x:v>27</x:v>
      </x:c>
      <x:c r="Q66" s="24" t="str">
        <x:f>IF(H66="否","非棧板管理",IF(AND(E66="是",N66&gt;0),"季節彈性前移區",IF(OR(C66="Cluster 3",D66&gt;=55),"近端低層棧板區",IF(C66="Cluster 2","中段大貨位",IF(C66="Cluster 4","遠端彈性儲位","中段棧板區")))))</x:f>
        <x:v>近端低層棧板區</x:v>
      </x:c>
      <x:c r="R66" s="24" t="str">
        <x:f>IF(AND(H66="是",E66="是",N66&gt;0),"是","否")</x:f>
        <x:v>否</x:v>
      </x:c>
      <x:c r="S66" s="24" t="str">
        <x:f>IF(H66="否","非本次棧板儲位分析對象",IF(R66="是","旺季前需前移並增加棧板位",IF(N66&gt;0,"需增加棧板位",IF(N66&lt;0,"可釋放部分棧板位","維持現況"))))</x:f>
        <x:v>維持現況</x:v>
      </x:c>
    </x:row>
    <x:row r="67">
      <x:c r="A67" s="24" t="str">
        <x:f>'500件商品'!A67</x:f>
        <x:v>PX0063</x:v>
      </x:c>
      <x:c r="B67" s="24" t="str">
        <x:f>'500件商品'!B67</x:f>
        <x:v>果汁飲料整箱-箱裝</x:v>
      </x:c>
      <x:c r="C67" s="24" t="str">
        <x:f>'500件商品'!D67</x:f>
        <x:v>Cluster 3</x:v>
      </x:c>
      <x:c r="D67" s="26" t="n">
        <x:f>'500件商品'!F67</x:f>
        <x:v>80</x:v>
      </x:c>
      <x:c r="E67" s="24" t="str">
        <x:f>'500件商品'!K67</x:f>
        <x:v>否</x:v>
      </x:c>
      <x:c r="F67" s="24" t="str">
        <x:f>'500件商品'!L67</x:f>
      </x:c>
      <x:c r="G67" s="28" t="n">
        <x:f>'500件商品'!M67</x:f>
        <x:v>1.5</x:v>
      </x:c>
      <x:c r="H67" s="24" t="str">
        <x:f>'500件商品'!P67</x:f>
        <x:v>是</x:v>
      </x:c>
      <x:c r="I67" s="26" t="n">
        <x:f>'500件商品'!N67</x:f>
        <x:v>504</x:v>
      </x:c>
      <x:c r="J67" s="26" t="n">
        <x:f>'500件商品'!O67</x:f>
        <x:v>36</x:v>
      </x:c>
      <x:c r="K67" s="26" t="n">
        <x:f>IF(H67="是",CEILING(I67/J67,1),0)</x:f>
        <x:v>14</x:v>
      </x:c>
      <x:c r="L67" s="26" t="n">
        <x:f>ROUND(I67*G67,0)</x:f>
        <x:v>756</x:v>
      </x:c>
      <x:c r="M67" s="26" t="n">
        <x:f>IF(H67="是",CEILING(L67/J67,1),0)</x:f>
        <x:v>21</x:v>
      </x:c>
      <x:c r="N67" s="26" t="n">
        <x:f>M67-K67</x:f>
        <x:v>7</x:v>
      </x:c>
      <x:c r="O67" s="24" t="str">
        <x:f>'500件商品'!Q67</x:f>
        <x:v>1區</x:v>
      </x:c>
      <x:c r="P67" s="26" t="n">
        <x:f>'500件商品'!R67</x:f>
        <x:v>36</x:v>
      </x:c>
      <x:c r="Q67" s="24" t="str">
        <x:f>IF(H67="否","非棧板管理",IF(AND(E67="是",N67&gt;0),"季節彈性前移區",IF(OR(C67="Cluster 3",D67&gt;=55),"近端低層棧板區",IF(C67="Cluster 2","中段大貨位",IF(C67="Cluster 4","遠端彈性儲位","中段棧板區")))))</x:f>
        <x:v>近端低層棧板區</x:v>
      </x:c>
      <x:c r="R67" s="24" t="str">
        <x:f>IF(AND(H67="是",E67="是",N67&gt;0),"是","否")</x:f>
        <x:v>否</x:v>
      </x:c>
      <x:c r="S67" s="24" t="str">
        <x:f>IF(H67="否","非本次棧板儲位分析對象",IF(R67="是","旺季前需前移並增加棧板位",IF(N67&gt;0,"需增加棧板位",IF(N67&lt;0,"可釋放部分棧板位","維持現況"))))</x:f>
        <x:v>需增加棧板位</x:v>
      </x:c>
    </x:row>
    <x:row r="68">
      <x:c r="A68" s="24" t="str">
        <x:f>'500件商品'!A68</x:f>
        <x:v>PX0064</x:v>
      </x:c>
      <x:c r="B68" s="24" t="str">
        <x:f>'500件商品'!B68</x:f>
        <x:v>浴廁清潔劑-補充包</x:v>
      </x:c>
      <x:c r="C68" s="24" t="str">
        <x:f>'500件商品'!D68</x:f>
        <x:v>Cluster 3</x:v>
      </x:c>
      <x:c r="D68" s="26" t="n">
        <x:f>'500件商品'!F68</x:f>
        <x:v>73</x:v>
      </x:c>
      <x:c r="E68" s="24" t="str">
        <x:f>'500件商品'!K68</x:f>
        <x:v>否</x:v>
      </x:c>
      <x:c r="F68" s="24" t="str">
        <x:f>'500件商品'!L68</x:f>
      </x:c>
      <x:c r="G68" s="28" t="n">
        <x:f>'500件商品'!M68</x:f>
        <x:v>1</x:v>
      </x:c>
      <x:c r="H68" s="24" t="str">
        <x:f>'500件商品'!P68</x:f>
        <x:v>是</x:v>
      </x:c>
      <x:c r="I68" s="26" t="n">
        <x:f>'500件商品'!N68</x:f>
        <x:v>573</x:v>
      </x:c>
      <x:c r="J68" s="26" t="n">
        <x:f>'500件商品'!O68</x:f>
        <x:v>60</x:v>
      </x:c>
      <x:c r="K68" s="26" t="n">
        <x:f>IF(H68="是",CEILING(I68/J68,1),0)</x:f>
        <x:v>10</x:v>
      </x:c>
      <x:c r="L68" s="26" t="n">
        <x:f>ROUND(I68*G68,0)</x:f>
        <x:v>573</x:v>
      </x:c>
      <x:c r="M68" s="26" t="n">
        <x:f>IF(H68="是",CEILING(L68/J68,1),0)</x:f>
        <x:v>10</x:v>
      </x:c>
      <x:c r="N68" s="26" t="n">
        <x:f>M68-K68</x:f>
        <x:v>0</x:v>
      </x:c>
      <x:c r="O68" s="24" t="str">
        <x:f>'500件商品'!Q68</x:f>
        <x:v>遠端區</x:v>
      </x:c>
      <x:c r="P68" s="26" t="n">
        <x:f>'500件商品'!R68</x:f>
        <x:v>57</x:v>
      </x:c>
      <x:c r="Q68" s="24" t="str">
        <x:f>IF(H68="否","非棧板管理",IF(AND(E68="是",N68&gt;0),"季節彈性前移區",IF(OR(C68="Cluster 3",D68&gt;=55),"近端低層棧板區",IF(C68="Cluster 2","中段大貨位",IF(C68="Cluster 4","遠端彈性儲位","中段棧板區")))))</x:f>
        <x:v>近端低層棧板區</x:v>
      </x:c>
      <x:c r="R68" s="24" t="str">
        <x:f>IF(AND(H68="是",E68="是",N68&gt;0),"是","否")</x:f>
        <x:v>否</x:v>
      </x:c>
      <x:c r="S68" s="24" t="str">
        <x:f>IF(H68="否","非本次棧板儲位分析對象",IF(R68="是","旺季前需前移並增加棧板位",IF(N68&gt;0,"需增加棧板位",IF(N68&lt;0,"可釋放部分棧板位","維持現況"))))</x:f>
        <x:v>維持現況</x:v>
      </x:c>
    </x:row>
    <x:row r="69">
      <x:c r="A69" s="24" t="str">
        <x:f>'500件商品'!A69</x:f>
        <x:v>PX0065</x:v>
      </x:c>
      <x:c r="B69" s="24" t="str">
        <x:f>'500件商品'!B69</x:f>
        <x:v>面紙箱-箱裝</x:v>
      </x:c>
      <x:c r="C69" s="24" t="str">
        <x:f>'500件商品'!D69</x:f>
        <x:v>Cluster 5</x:v>
      </x:c>
      <x:c r="D69" s="26" t="n">
        <x:f>'500件商品'!F69</x:f>
        <x:v>49</x:v>
      </x:c>
      <x:c r="E69" s="24" t="str">
        <x:f>'500件商品'!K69</x:f>
        <x:v>否</x:v>
      </x:c>
      <x:c r="F69" s="24" t="str">
        <x:f>'500件商品'!L69</x:f>
      </x:c>
      <x:c r="G69" s="28" t="n">
        <x:f>'500件商品'!M69</x:f>
        <x:v>1</x:v>
      </x:c>
      <x:c r="H69" s="24" t="str">
        <x:f>'500件商品'!P69</x:f>
        <x:v>是</x:v>
      </x:c>
      <x:c r="I69" s="26" t="n">
        <x:f>'500件商品'!N69</x:f>
        <x:v>295</x:v>
      </x:c>
      <x:c r="J69" s="26" t="n">
        <x:f>'500件商品'!O69</x:f>
        <x:v>48</x:v>
      </x:c>
      <x:c r="K69" s="26" t="n">
        <x:f>IF(H69="是",CEILING(I69/J69,1),0)</x:f>
        <x:v>7</x:v>
      </x:c>
      <x:c r="L69" s="26" t="n">
        <x:f>ROUND(I69*G69,0)</x:f>
        <x:v>295</x:v>
      </x:c>
      <x:c r="M69" s="26" t="n">
        <x:f>IF(H69="是",CEILING(L69/J69,1),0)</x:f>
        <x:v>7</x:v>
      </x:c>
      <x:c r="N69" s="26" t="n">
        <x:f>M69-K69</x:f>
        <x:v>0</x:v>
      </x:c>
      <x:c r="O69" s="24" t="str">
        <x:f>'500件商品'!Q69</x:f>
        <x:v>A區</x:v>
      </x:c>
      <x:c r="P69" s="26" t="n">
        <x:f>'500件商品'!R69</x:f>
        <x:v>28</x:v>
      </x:c>
      <x:c r="Q69" s="24" t="str">
        <x:f>IF(H69="否","非棧板管理",IF(AND(E69="是",N69&gt;0),"季節彈性前移區",IF(OR(C69="Cluster 3",D69&gt;=55),"近端低層棧板區",IF(C69="Cluster 2","中段大貨位",IF(C69="Cluster 4","遠端彈性儲位","中段棧板區")))))</x:f>
        <x:v>中段棧板區</x:v>
      </x:c>
      <x:c r="R69" s="24" t="str">
        <x:f>IF(AND(H69="是",E69="是",N69&gt;0),"是","否")</x:f>
        <x:v>否</x:v>
      </x:c>
      <x:c r="S69" s="24" t="str">
        <x:f>IF(H69="否","非本次棧板儲位分析對象",IF(R69="是","旺季前需前移並增加棧板位",IF(N69&gt;0,"需增加棧板位",IF(N69&lt;0,"可釋放部分棧板位","維持現況"))))</x:f>
        <x:v>維持現況</x:v>
      </x:c>
    </x:row>
    <x:row r="70">
      <x:c r="A70" s="24" t="str">
        <x:f>'500件商品'!A70</x:f>
        <x:v>PX0066</x:v>
      </x:c>
      <x:c r="B70" s="24" t="str">
        <x:f>'500件商品'!B70</x:f>
        <x:v>地板清潔劑-家庭號</x:v>
      </x:c>
      <x:c r="C70" s="24" t="str">
        <x:f>'500件商品'!D70</x:f>
        <x:v>Cluster 3</x:v>
      </x:c>
      <x:c r="D70" s="26" t="n">
        <x:f>'500件商品'!F70</x:f>
        <x:v>75</x:v>
      </x:c>
      <x:c r="E70" s="24" t="str">
        <x:f>'500件商品'!K70</x:f>
        <x:v>否</x:v>
      </x:c>
      <x:c r="F70" s="24" t="str">
        <x:f>'500件商品'!L70</x:f>
      </x:c>
      <x:c r="G70" s="28" t="n">
        <x:f>'500件商品'!M70</x:f>
        <x:v>1</x:v>
      </x:c>
      <x:c r="H70" s="24" t="str">
        <x:f>'500件商品'!P70</x:f>
        <x:v>是</x:v>
      </x:c>
      <x:c r="I70" s="26" t="n">
        <x:f>'500件商品'!N70</x:f>
        <x:v>569</x:v>
      </x:c>
      <x:c r="J70" s="26" t="n">
        <x:f>'500件商品'!O70</x:f>
        <x:v>80</x:v>
      </x:c>
      <x:c r="K70" s="26" t="n">
        <x:f>IF(H70="是",CEILING(I70/J70,1),0)</x:f>
        <x:v>8</x:v>
      </x:c>
      <x:c r="L70" s="26" t="n">
        <x:f>ROUND(I70*G70,0)</x:f>
        <x:v>569</x:v>
      </x:c>
      <x:c r="M70" s="26" t="n">
        <x:f>IF(H70="是",CEILING(L70/J70,1),0)</x:f>
        <x:v>8</x:v>
      </x:c>
      <x:c r="N70" s="26" t="n">
        <x:f>M70-K70</x:f>
        <x:v>0</x:v>
      </x:c>
      <x:c r="O70" s="24" t="str">
        <x:f>'500件商品'!Q70</x:f>
        <x:v>1區</x:v>
      </x:c>
      <x:c r="P70" s="26" t="n">
        <x:f>'500件商品'!R70</x:f>
        <x:v>33</x:v>
      </x:c>
      <x:c r="Q70" s="24" t="str">
        <x:f>IF(H70="否","非棧板管理",IF(AND(E70="是",N70&gt;0),"季節彈性前移區",IF(OR(C70="Cluster 3",D70&gt;=55),"近端低層棧板區",IF(C70="Cluster 2","中段大貨位",IF(C70="Cluster 4","遠端彈性儲位","中段棧板區")))))</x:f>
        <x:v>近端低層棧板區</x:v>
      </x:c>
      <x:c r="R70" s="24" t="str">
        <x:f>IF(AND(H70="是",E70="是",N70&gt;0),"是","否")</x:f>
        <x:v>否</x:v>
      </x:c>
      <x:c r="S70" s="24" t="str">
        <x:f>IF(H70="否","非本次棧板儲位分析對象",IF(R70="是","旺季前需前移並增加棧板位",IF(N70&gt;0,"需增加棧板位",IF(N70&lt;0,"可釋放部分棧板位","維持現況"))))</x:f>
        <x:v>維持現況</x:v>
      </x:c>
    </x:row>
    <x:row r="71">
      <x:c r="A71" s="24" t="str">
        <x:f>'500件商品'!A71</x:f>
        <x:v>PX0067</x:v>
      </x:c>
      <x:c r="B71" s="24" t="str">
        <x:f>'500件商品'!B71</x:f>
        <x:v>端午禮盒-促銷組</x:v>
      </x:c>
      <x:c r="C71" s="24" t="str">
        <x:f>'500件商品'!D71</x:f>
        <x:v>Cluster 4</x:v>
      </x:c>
      <x:c r="D71" s="26" t="n">
        <x:f>'500件商品'!F71</x:f>
        <x:v>48</x:v>
      </x:c>
      <x:c r="E71" s="24" t="str">
        <x:f>'500件商品'!K71</x:f>
        <x:v>是</x:v>
      </x:c>
      <x:c r="F71" s="24" t="str">
        <x:f>'500件商品'!L71</x:f>
        <x:v>1-2月</x:v>
      </x:c>
      <x:c r="G71" s="28" t="n">
        <x:f>'500件商品'!M71</x:f>
        <x:v>2.5</x:v>
      </x:c>
      <x:c r="H71" s="24" t="str">
        <x:f>'500件商品'!P71</x:f>
        <x:v>是</x:v>
      </x:c>
      <x:c r="I71" s="26" t="n">
        <x:f>'500件商品'!N71</x:f>
        <x:v>537</x:v>
      </x:c>
      <x:c r="J71" s="26" t="n">
        <x:f>'500件商品'!O71</x:f>
        <x:v>20</x:v>
      </x:c>
      <x:c r="K71" s="26" t="n">
        <x:f>IF(H71="是",CEILING(I71/J71,1),0)</x:f>
        <x:v>27</x:v>
      </x:c>
      <x:c r="L71" s="26" t="n">
        <x:f>ROUND(I71*G71,0)</x:f>
        <x:v>1343</x:v>
      </x:c>
      <x:c r="M71" s="26" t="n">
        <x:f>IF(H71="是",CEILING(L71/J71,1),0)</x:f>
        <x:v>68</x:v>
      </x:c>
      <x:c r="N71" s="26" t="n">
        <x:f>M71-K71</x:f>
        <x:v>41</x:v>
      </x:c>
      <x:c r="O71" s="24" t="str">
        <x:f>'500件商品'!Q71</x:f>
        <x:v>彈性區</x:v>
      </x:c>
      <x:c r="P71" s="26" t="n">
        <x:f>'500件商品'!R71</x:f>
        <x:v>55</x:v>
      </x:c>
      <x:c r="Q71" s="24" t="str">
        <x:f>IF(H71="否","非棧板管理",IF(AND(E71="是",N71&gt;0),"季節彈性前移區",IF(OR(C71="Cluster 3",D71&gt;=55),"近端低層棧板區",IF(C71="Cluster 2","中段大貨位",IF(C71="Cluster 4","遠端彈性儲位","中段棧板區")))))</x:f>
        <x:v>季節彈性前移區</x:v>
      </x:c>
      <x:c r="R71" s="24" t="str">
        <x:f>IF(AND(H71="是",E71="是",N71&gt;0),"是","否")</x:f>
        <x:v>是</x:v>
      </x:c>
      <x:c r="S71" s="24" t="str">
        <x:f>IF(H71="否","非本次棧板儲位分析對象",IF(R71="是","旺季前需前移並增加棧板位",IF(N71&gt;0,"需增加棧板位",IF(N71&lt;0,"可釋放部分棧板位","維持現況"))))</x:f>
        <x:v>旺季前需前移並增加棧板位</x:v>
      </x:c>
    </x:row>
    <x:row r="72">
      <x:c r="A72" s="24" t="str">
        <x:f>'500件商品'!A72</x:f>
        <x:v>PX0068</x:v>
      </x:c>
      <x:c r="B72" s="24" t="str">
        <x:f>'500件商品'!B72</x:f>
        <x:v>家庭號礦泉水-家庭號</x:v>
      </x:c>
      <x:c r="C72" s="24" t="str">
        <x:f>'500件商品'!D72</x:f>
        <x:v>Cluster 3</x:v>
      </x:c>
      <x:c r="D72" s="26" t="n">
        <x:f>'500件商品'!F72</x:f>
        <x:v>56</x:v>
      </x:c>
      <x:c r="E72" s="24" t="str">
        <x:f>'500件商品'!K72</x:f>
        <x:v>否</x:v>
      </x:c>
      <x:c r="F72" s="24" t="str">
        <x:f>'500件商品'!L72</x:f>
      </x:c>
      <x:c r="G72" s="28" t="n">
        <x:f>'500件商品'!M72</x:f>
        <x:v>1.5</x:v>
      </x:c>
      <x:c r="H72" s="24" t="str">
        <x:f>'500件商品'!P72</x:f>
        <x:v>是</x:v>
      </x:c>
      <x:c r="I72" s="26" t="n">
        <x:f>'500件商品'!N72</x:f>
        <x:v>552</x:v>
      </x:c>
      <x:c r="J72" s="26" t="n">
        <x:f>'500件商品'!O72</x:f>
        <x:v>40</x:v>
      </x:c>
      <x:c r="K72" s="26" t="n">
        <x:f>IF(H72="是",CEILING(I72/J72,1),0)</x:f>
        <x:v>14</x:v>
      </x:c>
      <x:c r="L72" s="26" t="n">
        <x:f>ROUND(I72*G72,0)</x:f>
        <x:v>828</x:v>
      </x:c>
      <x:c r="M72" s="26" t="n">
        <x:f>IF(H72="是",CEILING(L72/J72,1),0)</x:f>
        <x:v>21</x:v>
      </x:c>
      <x:c r="N72" s="26" t="n">
        <x:f>M72-K72</x:f>
        <x:v>7</x:v>
      </x:c>
      <x:c r="O72" s="24" t="str">
        <x:f>'500件商品'!Q72</x:f>
        <x:v>3區</x:v>
      </x:c>
      <x:c r="P72" s="26" t="n">
        <x:f>'500件商品'!R72</x:f>
        <x:v>32</x:v>
      </x:c>
      <x:c r="Q72" s="24" t="str">
        <x:f>IF(H72="否","非棧板管理",IF(AND(E72="是",N72&gt;0),"季節彈性前移區",IF(OR(C72="Cluster 3",D72&gt;=55),"近端低層棧板區",IF(C72="Cluster 2","中段大貨位",IF(C72="Cluster 4","遠端彈性儲位","中段棧板區")))))</x:f>
        <x:v>近端低層棧板區</x:v>
      </x:c>
      <x:c r="R72" s="24" t="str">
        <x:f>IF(AND(H72="是",E72="是",N72&gt;0),"是","否")</x:f>
        <x:v>否</x:v>
      </x:c>
      <x:c r="S72" s="24" t="str">
        <x:f>IF(H72="否","非本次棧板儲位分析對象",IF(R72="是","旺季前需前移並增加棧板位",IF(N72&gt;0,"需增加棧板位",IF(N72&lt;0,"可釋放部分棧板位","維持現況"))))</x:f>
        <x:v>需增加棧板位</x:v>
      </x:c>
    </x:row>
    <x:row r="73">
      <x:c r="A73" s="24" t="str">
        <x:f>'500件商品'!A73</x:f>
        <x:v>PX0069</x:v>
      </x:c>
      <x:c r="B73" s="24" t="str">
        <x:f>'500件商品'!B73</x:f>
        <x:v>擦手紙箱-箱裝</x:v>
      </x:c>
      <x:c r="C73" s="24" t="str">
        <x:f>'500件商品'!D73</x:f>
        <x:v>Cluster 2</x:v>
      </x:c>
      <x:c r="D73" s="26" t="n">
        <x:f>'500件商品'!F73</x:f>
        <x:v>71</x:v>
      </x:c>
      <x:c r="E73" s="24" t="str">
        <x:f>'500件商品'!K73</x:f>
        <x:v>否</x:v>
      </x:c>
      <x:c r="F73" s="24" t="str">
        <x:f>'500件商品'!L73</x:f>
      </x:c>
      <x:c r="G73" s="28" t="n">
        <x:f>'500件商品'!M73</x:f>
        <x:v>1</x:v>
      </x:c>
      <x:c r="H73" s="24" t="str">
        <x:f>'500件商品'!P73</x:f>
        <x:v>是</x:v>
      </x:c>
      <x:c r="I73" s="26" t="n">
        <x:f>'500件商品'!N73</x:f>
        <x:v>246</x:v>
      </x:c>
      <x:c r="J73" s="26" t="n">
        <x:f>'500件商品'!O73</x:f>
        <x:v>30</x:v>
      </x:c>
      <x:c r="K73" s="26" t="n">
        <x:f>IF(H73="是",CEILING(I73/J73,1),0)</x:f>
        <x:v>9</x:v>
      </x:c>
      <x:c r="L73" s="26" t="n">
        <x:f>ROUND(I73*G73,0)</x:f>
        <x:v>246</x:v>
      </x:c>
      <x:c r="M73" s="26" t="n">
        <x:f>IF(H73="是",CEILING(L73/J73,1),0)</x:f>
        <x:v>9</x:v>
      </x:c>
      <x:c r="N73" s="26" t="n">
        <x:f>M73-K73</x:f>
        <x:v>0</x:v>
      </x:c>
      <x:c r="O73" s="24" t="str">
        <x:f>'500件商品'!Q73</x:f>
        <x:v>K區</x:v>
      </x:c>
      <x:c r="P73" s="26" t="n">
        <x:f>'500件商品'!R73</x:f>
        <x:v>39</x:v>
      </x:c>
      <x:c r="Q73" s="24" t="str">
        <x:f>IF(H73="否","非棧板管理",IF(AND(E73="是",N73&gt;0),"季節彈性前移區",IF(OR(C73="Cluster 3",D73&gt;=55),"近端低層棧板區",IF(C73="Cluster 2","中段大貨位",IF(C73="Cluster 4","遠端彈性儲位","中段棧板區")))))</x:f>
        <x:v>近端低層棧板區</x:v>
      </x:c>
      <x:c r="R73" s="24" t="str">
        <x:f>IF(AND(H73="是",E73="是",N73&gt;0),"是","否")</x:f>
        <x:v>否</x:v>
      </x:c>
      <x:c r="S73" s="24" t="str">
        <x:f>IF(H73="否","非本次棧板儲位分析對象",IF(R73="是","旺季前需前移並增加棧板位",IF(N73&gt;0,"需增加棧板位",IF(N73&lt;0,"可釋放部分棧板位","維持現況"))))</x:f>
        <x:v>維持現況</x:v>
      </x:c>
    </x:row>
    <x:row r="74">
      <x:c r="A74" s="24" t="str">
        <x:f>'500件商品'!A74</x:f>
        <x:v>PX0070</x:v>
      </x:c>
      <x:c r="B74" s="24" t="str">
        <x:f>'500件商品'!B74</x:f>
        <x:v>餐巾紙箱-補充包</x:v>
      </x:c>
      <x:c r="C74" s="24" t="str">
        <x:f>'500件商品'!D74</x:f>
        <x:v>Cluster 5</x:v>
      </x:c>
      <x:c r="D74" s="26" t="n">
        <x:f>'500件商品'!F74</x:f>
        <x:v>80</x:v>
      </x:c>
      <x:c r="E74" s="24" t="str">
        <x:f>'500件商品'!K74</x:f>
        <x:v>否</x:v>
      </x:c>
      <x:c r="F74" s="24" t="str">
        <x:f>'500件商品'!L74</x:f>
      </x:c>
      <x:c r="G74" s="28" t="n">
        <x:f>'500件商品'!M74</x:f>
        <x:v>1.1</x:v>
      </x:c>
      <x:c r="H74" s="24" t="str">
        <x:f>'500件商品'!P74</x:f>
        <x:v>是</x:v>
      </x:c>
      <x:c r="I74" s="26" t="n">
        <x:f>'500件商品'!N74</x:f>
        <x:v>852</x:v>
      </x:c>
      <x:c r="J74" s="26" t="n">
        <x:f>'500件商品'!O74</x:f>
        <x:v>72</x:v>
      </x:c>
      <x:c r="K74" s="26" t="n">
        <x:f>IF(H74="是",CEILING(I74/J74,1),0)</x:f>
        <x:v>12</x:v>
      </x:c>
      <x:c r="L74" s="26" t="n">
        <x:f>ROUND(I74*G74,0)</x:f>
        <x:v>937</x:v>
      </x:c>
      <x:c r="M74" s="26" t="n">
        <x:f>IF(H74="是",CEILING(L74/J74,1),0)</x:f>
        <x:v>14</x:v>
      </x:c>
      <x:c r="N74" s="26" t="n">
        <x:f>M74-K74</x:f>
        <x:v>2</x:v>
      </x:c>
      <x:c r="O74" s="24" t="str">
        <x:f>'500件商品'!Q74</x:f>
        <x:v>彈性區</x:v>
      </x:c>
      <x:c r="P74" s="26" t="n">
        <x:f>'500件商品'!R74</x:f>
        <x:v>46</x:v>
      </x:c>
      <x:c r="Q74" s="24" t="str">
        <x:f>IF(H74="否","非棧板管理",IF(AND(E74="是",N74&gt;0),"季節彈性前移區",IF(OR(C74="Cluster 3",D74&gt;=55),"近端低層棧板區",IF(C74="Cluster 2","中段大貨位",IF(C74="Cluster 4","遠端彈性儲位","中段棧板區")))))</x:f>
        <x:v>近端低層棧板區</x:v>
      </x:c>
      <x:c r="R74" s="24" t="str">
        <x:f>IF(AND(H74="是",E74="是",N74&gt;0),"是","否")</x:f>
        <x:v>否</x:v>
      </x:c>
      <x:c r="S74" s="24" t="str">
        <x:f>IF(H74="否","非本次棧板儲位分析對象",IF(R74="是","旺季前需前移並增加棧板位",IF(N74&gt;0,"需增加棧板位",IF(N74&lt;0,"可釋放部分棧板位","維持現況"))))</x:f>
        <x:v>需增加棧板位</x:v>
      </x:c>
    </x:row>
    <x:row r="75">
      <x:c r="A75" s="24" t="str">
        <x:f>'500件商品'!A75</x:f>
        <x:v>PX0071</x:v>
      </x:c>
      <x:c r="B75" s="24" t="str">
        <x:f>'500件商品'!B75</x:f>
        <x:v>寵物飼料5kg-小包裝</x:v>
      </x:c>
      <x:c r="C75" s="24" t="str">
        <x:f>'500件商品'!D75</x:f>
        <x:v>Cluster 3</x:v>
      </x:c>
      <x:c r="D75" s="26" t="n">
        <x:f>'500件商品'!F75</x:f>
        <x:v>77</x:v>
      </x:c>
      <x:c r="E75" s="24" t="str">
        <x:f>'500件商品'!K75</x:f>
        <x:v>否</x:v>
      </x:c>
      <x:c r="F75" s="24" t="str">
        <x:f>'500件商品'!L75</x:f>
      </x:c>
      <x:c r="G75" s="28" t="n">
        <x:f>'500件商品'!M75</x:f>
        <x:v>1</x:v>
      </x:c>
      <x:c r="H75" s="24" t="str">
        <x:f>'500件商品'!P75</x:f>
        <x:v>是</x:v>
      </x:c>
      <x:c r="I75" s="26" t="n">
        <x:f>'500件商品'!N75</x:f>
        <x:v>671</x:v>
      </x:c>
      <x:c r="J75" s="26" t="n">
        <x:f>'500件商品'!O75</x:f>
        <x:v>30</x:v>
      </x:c>
      <x:c r="K75" s="26" t="n">
        <x:f>IF(H75="是",CEILING(I75/J75,1),0)</x:f>
        <x:v>23</x:v>
      </x:c>
      <x:c r="L75" s="26" t="n">
        <x:f>ROUND(I75*G75,0)</x:f>
        <x:v>671</x:v>
      </x:c>
      <x:c r="M75" s="26" t="n">
        <x:f>IF(H75="是",CEILING(L75/J75,1),0)</x:f>
        <x:v>23</x:v>
      </x:c>
      <x:c r="N75" s="26" t="n">
        <x:f>M75-K75</x:f>
        <x:v>0</x:v>
      </x:c>
      <x:c r="O75" s="24" t="str">
        <x:f>'500件商品'!Q75</x:f>
        <x:v>遠端區</x:v>
      </x:c>
      <x:c r="P75" s="26" t="n">
        <x:f>'500件商品'!R75</x:f>
        <x:v>60</x:v>
      </x:c>
      <x:c r="Q75" s="24" t="str">
        <x:f>IF(H75="否","非棧板管理",IF(AND(E75="是",N75&gt;0),"季節彈性前移區",IF(OR(C75="Cluster 3",D75&gt;=55),"近端低層棧板區",IF(C75="Cluster 2","中段大貨位",IF(C75="Cluster 4","遠端彈性儲位","中段棧板區")))))</x:f>
        <x:v>近端低層棧板區</x:v>
      </x:c>
      <x:c r="R75" s="24" t="str">
        <x:f>IF(AND(H75="是",E75="是",N75&gt;0),"是","否")</x:f>
        <x:v>否</x:v>
      </x:c>
      <x:c r="S75" s="24" t="str">
        <x:f>IF(H75="否","非本次棧板儲位分析對象",IF(R75="是","旺季前需前移並增加棧板位",IF(N75&gt;0,"需增加棧板位",IF(N75&lt;0,"可釋放部分棧板位","維持現況"))))</x:f>
        <x:v>維持現況</x:v>
      </x:c>
    </x:row>
    <x:row r="76">
      <x:c r="A76" s="24" t="str">
        <x:f>'500件商品'!A76</x:f>
        <x:v>PX0072</x:v>
      </x:c>
      <x:c r="B76" s="24" t="str">
        <x:f>'500件商品'!B76</x:f>
        <x:v>咖啡罐裝整箱-家庭號</x:v>
      </x:c>
      <x:c r="C76" s="24" t="str">
        <x:f>'500件商品'!D76</x:f>
        <x:v>Cluster 3</x:v>
      </x:c>
      <x:c r="D76" s="26" t="n">
        <x:f>'500件商品'!F76</x:f>
        <x:v>83</x:v>
      </x:c>
      <x:c r="E76" s="24" t="str">
        <x:f>'500件商品'!K76</x:f>
        <x:v>否</x:v>
      </x:c>
      <x:c r="F76" s="24" t="str">
        <x:f>'500件商品'!L76</x:f>
      </x:c>
      <x:c r="G76" s="28" t="n">
        <x:f>'500件商品'!M76</x:f>
        <x:v>1</x:v>
      </x:c>
      <x:c r="H76" s="24" t="str">
        <x:f>'500件商品'!P76</x:f>
        <x:v>是</x:v>
      </x:c>
      <x:c r="I76" s="26" t="n">
        <x:f>'500件商品'!N76</x:f>
        <x:v>663</x:v>
      </x:c>
      <x:c r="J76" s="26" t="n">
        <x:f>'500件商品'!O76</x:f>
        <x:v>80</x:v>
      </x:c>
      <x:c r="K76" s="26" t="n">
        <x:f>IF(H76="是",CEILING(I76/J76,1),0)</x:f>
        <x:v>9</x:v>
      </x:c>
      <x:c r="L76" s="26" t="n">
        <x:f>ROUND(I76*G76,0)</x:f>
        <x:v>663</x:v>
      </x:c>
      <x:c r="M76" s="26" t="n">
        <x:f>IF(H76="是",CEILING(L76/J76,1),0)</x:f>
        <x:v>9</x:v>
      </x:c>
      <x:c r="N76" s="26" t="n">
        <x:f>M76-K76</x:f>
        <x:v>0</x:v>
      </x:c>
      <x:c r="O76" s="24" t="str">
        <x:f>'500件商品'!Q76</x:f>
        <x:v>A區</x:v>
      </x:c>
      <x:c r="P76" s="26" t="n">
        <x:f>'500件商品'!R76</x:f>
        <x:v>37</x:v>
      </x:c>
      <x:c r="Q76" s="24" t="str">
        <x:f>IF(H76="否","非棧板管理",IF(AND(E76="是",N76&gt;0),"季節彈性前移區",IF(OR(C76="Cluster 3",D76&gt;=55),"近端低層棧板區",IF(C76="Cluster 2","中段大貨位",IF(C76="Cluster 4","遠端彈性儲位","中段棧板區")))))</x:f>
        <x:v>近端低層棧板區</x:v>
      </x:c>
      <x:c r="R76" s="24" t="str">
        <x:f>IF(AND(H76="是",E76="是",N76&gt;0),"是","否")</x:f>
        <x:v>否</x:v>
      </x:c>
      <x:c r="S76" s="24" t="str">
        <x:f>IF(H76="否","非本次棧板儲位分析對象",IF(R76="是","旺季前需前移並增加棧板位",IF(N76&gt;0,"需增加棧板位",IF(N76&lt;0,"可釋放部分棧板位","維持現況"))))</x:f>
        <x:v>維持現況</x:v>
      </x:c>
    </x:row>
    <x:row r="77">
      <x:c r="A77" s="24" t="str">
        <x:f>'500件商品'!A77</x:f>
        <x:v>PX0073</x:v>
      </x:c>
      <x:c r="B77" s="24" t="str">
        <x:f>'500件商品'!B77</x:f>
        <x:v>寵物尿布墊-補充包</x:v>
      </x:c>
      <x:c r="C77" s="24" t="str">
        <x:f>'500件商品'!D77</x:f>
        <x:v>Cluster 2</x:v>
      </x:c>
      <x:c r="D77" s="26" t="n">
        <x:f>'500件商品'!F77</x:f>
        <x:v>53</x:v>
      </x:c>
      <x:c r="E77" s="24" t="str">
        <x:f>'500件商品'!K77</x:f>
        <x:v>否</x:v>
      </x:c>
      <x:c r="F77" s="24" t="str">
        <x:f>'500件商品'!L77</x:f>
      </x:c>
      <x:c r="G77" s="28" t="n">
        <x:f>'500件商品'!M77</x:f>
        <x:v>1</x:v>
      </x:c>
      <x:c r="H77" s="24" t="str">
        <x:f>'500件商品'!P77</x:f>
        <x:v>是</x:v>
      </x:c>
      <x:c r="I77" s="26" t="n">
        <x:f>'500件商品'!N77</x:f>
        <x:v>320</x:v>
      </x:c>
      <x:c r="J77" s="26" t="n">
        <x:f>'500件商品'!O77</x:f>
        <x:v>24</x:v>
      </x:c>
      <x:c r="K77" s="26" t="n">
        <x:f>IF(H77="是",CEILING(I77/J77,1),0)</x:f>
        <x:v>14</x:v>
      </x:c>
      <x:c r="L77" s="26" t="n">
        <x:f>ROUND(I77*G77,0)</x:f>
        <x:v>320</x:v>
      </x:c>
      <x:c r="M77" s="26" t="n">
        <x:f>IF(H77="是",CEILING(L77/J77,1),0)</x:f>
        <x:v>14</x:v>
      </x:c>
      <x:c r="N77" s="26" t="n">
        <x:f>M77-K77</x:f>
        <x:v>0</x:v>
      </x:c>
      <x:c r="O77" s="24" t="str">
        <x:f>'500件商品'!Q77</x:f>
        <x:v>彈性區</x:v>
      </x:c>
      <x:c r="P77" s="26" t="n">
        <x:f>'500件商品'!R77</x:f>
        <x:v>45</x:v>
      </x:c>
      <x:c r="Q77" s="24" t="str">
        <x:f>IF(H77="否","非棧板管理",IF(AND(E77="是",N77&gt;0),"季節彈性前移區",IF(OR(C77="Cluster 3",D77&gt;=55),"近端低層棧板區",IF(C77="Cluster 2","中段大貨位",IF(C77="Cluster 4","遠端彈性儲位","中段棧板區")))))</x:f>
        <x:v>中段大貨位</x:v>
      </x:c>
      <x:c r="R77" s="24" t="str">
        <x:f>IF(AND(H77="是",E77="是",N77&gt;0),"是","否")</x:f>
        <x:v>否</x:v>
      </x:c>
      <x:c r="S77" s="24" t="str">
        <x:f>IF(H77="否","非本次棧板儲位分析對象",IF(R77="是","旺季前需前移並增加棧板位",IF(N77&gt;0,"需增加棧板位",IF(N77&lt;0,"可釋放部分棧板位","維持現況"))))</x:f>
        <x:v>維持現況</x:v>
      </x:c>
    </x:row>
    <x:row r="78">
      <x:c r="A78" s="24" t="str">
        <x:f>'500件商品'!A78</x:f>
        <x:v>PX0074</x:v>
      </x:c>
      <x:c r="B78" s="24" t="str">
        <x:f>'500件商品'!B78</x:f>
        <x:v>標籤紙卷-箱裝</x:v>
      </x:c>
      <x:c r="C78" s="24" t="str">
        <x:f>'500件商品'!D78</x:f>
        <x:v>Cluster 5</x:v>
      </x:c>
      <x:c r="D78" s="26" t="n">
        <x:f>'500件商品'!F78</x:f>
        <x:v>49</x:v>
      </x:c>
      <x:c r="E78" s="24" t="str">
        <x:f>'500件商品'!K78</x:f>
        <x:v>否</x:v>
      </x:c>
      <x:c r="F78" s="24" t="str">
        <x:f>'500件商品'!L78</x:f>
      </x:c>
      <x:c r="G78" s="28" t="n">
        <x:f>'500件商品'!M78</x:f>
        <x:v>1.1</x:v>
      </x:c>
      <x:c r="H78" s="24" t="str">
        <x:f>'500件商品'!P78</x:f>
        <x:v>是</x:v>
      </x:c>
      <x:c r="I78" s="26" t="n">
        <x:f>'500件商品'!N78</x:f>
        <x:v>510</x:v>
      </x:c>
      <x:c r="J78" s="26" t="n">
        <x:f>'500件商品'!O78</x:f>
        <x:v>80</x:v>
      </x:c>
      <x:c r="K78" s="26" t="n">
        <x:f>IF(H78="是",CEILING(I78/J78,1),0)</x:f>
        <x:v>7</x:v>
      </x:c>
      <x:c r="L78" s="26" t="n">
        <x:f>ROUND(I78*G78,0)</x:f>
        <x:v>561</x:v>
      </x:c>
      <x:c r="M78" s="26" t="n">
        <x:f>IF(H78="是",CEILING(L78/J78,1),0)</x:f>
        <x:v>8</x:v>
      </x:c>
      <x:c r="N78" s="26" t="n">
        <x:f>M78-K78</x:f>
        <x:v>1</x:v>
      </x:c>
      <x:c r="O78" s="24" t="str">
        <x:f>'500件商品'!Q78</x:f>
        <x:v>1區</x:v>
      </x:c>
      <x:c r="P78" s="26" t="n">
        <x:f>'500件商品'!R78</x:f>
        <x:v>29</x:v>
      </x:c>
      <x:c r="Q78" s="24" t="str">
        <x:f>IF(H78="否","非棧板管理",IF(AND(E78="是",N78&gt;0),"季節彈性前移區",IF(OR(C78="Cluster 3",D78&gt;=55),"近端低層棧板區",IF(C78="Cluster 2","中段大貨位",IF(C78="Cluster 4","遠端彈性儲位","中段棧板區")))))</x:f>
        <x:v>中段棧板區</x:v>
      </x:c>
      <x:c r="R78" s="24" t="str">
        <x:f>IF(AND(H78="是",E78="是",N78&gt;0),"是","否")</x:f>
        <x:v>否</x:v>
      </x:c>
      <x:c r="S78" s="24" t="str">
        <x:f>IF(H78="否","非本次棧板儲位分析對象",IF(R78="是","旺季前需前移並增加棧板位",IF(N78&gt;0,"需增加棧板位",IF(N78&lt;0,"可釋放部分棧板位","維持現況"))))</x:f>
        <x:v>需增加棧板位</x:v>
      </x:c>
    </x:row>
    <x:row r="79">
      <x:c r="A79" s="24" t="str">
        <x:f>'500件商品'!A79</x:f>
        <x:v>PX0075</x:v>
      </x:c>
      <x:c r="B79" s="24" t="str">
        <x:f>'500件商品'!B79</x:f>
        <x:v>寵物飼料5kg-小包裝</x:v>
      </x:c>
      <x:c r="C79" s="24" t="str">
        <x:f>'500件商品'!D79</x:f>
        <x:v>Cluster 2</x:v>
      </x:c>
      <x:c r="D79" s="26" t="n">
        <x:f>'500件商品'!F79</x:f>
        <x:v>51</x:v>
      </x:c>
      <x:c r="E79" s="24" t="str">
        <x:f>'500件商品'!K79</x:f>
        <x:v>否</x:v>
      </x:c>
      <x:c r="F79" s="24" t="str">
        <x:f>'500件商品'!L79</x:f>
      </x:c>
      <x:c r="G79" s="28" t="n">
        <x:f>'500件商品'!M79</x:f>
        <x:v>1</x:v>
      </x:c>
      <x:c r="H79" s="24" t="str">
        <x:f>'500件商品'!P79</x:f>
        <x:v>是</x:v>
      </x:c>
      <x:c r="I79" s="26" t="n">
        <x:f>'500件商品'!N79</x:f>
        <x:v>805</x:v>
      </x:c>
      <x:c r="J79" s="26" t="n">
        <x:f>'500件商品'!O79</x:f>
        <x:v>20</x:v>
      </x:c>
      <x:c r="K79" s="26" t="n">
        <x:f>IF(H79="是",CEILING(I79/J79,1),0)</x:f>
        <x:v>41</x:v>
      </x:c>
      <x:c r="L79" s="26" t="n">
        <x:f>ROUND(I79*G79,0)</x:f>
        <x:v>805</x:v>
      </x:c>
      <x:c r="M79" s="26" t="n">
        <x:f>IF(H79="是",CEILING(L79/J79,1),0)</x:f>
        <x:v>41</x:v>
      </x:c>
      <x:c r="N79" s="26" t="n">
        <x:f>M79-K79</x:f>
        <x:v>0</x:v>
      </x:c>
      <x:c r="O79" s="24" t="str">
        <x:f>'500件商品'!Q79</x:f>
        <x:v>1區</x:v>
      </x:c>
      <x:c r="P79" s="26" t="n">
        <x:f>'500件商品'!R79</x:f>
        <x:v>23</x:v>
      </x:c>
      <x:c r="Q79" s="24" t="str">
        <x:f>IF(H79="否","非棧板管理",IF(AND(E79="是",N79&gt;0),"季節彈性前移區",IF(OR(C79="Cluster 3",D79&gt;=55),"近端低層棧板區",IF(C79="Cluster 2","中段大貨位",IF(C79="Cluster 4","遠端彈性儲位","中段棧板區")))))</x:f>
        <x:v>中段大貨位</x:v>
      </x:c>
      <x:c r="R79" s="24" t="str">
        <x:f>IF(AND(H79="是",E79="是",N79&gt;0),"是","否")</x:f>
        <x:v>否</x:v>
      </x:c>
      <x:c r="S79" s="24" t="str">
        <x:f>IF(H79="否","非本次棧板儲位分析對象",IF(R79="是","旺季前需前移並增加棧板位",IF(N79&gt;0,"需增加棧板位",IF(N79&lt;0,"可釋放部分棧板位","維持現況"))))</x:f>
        <x:v>維持現況</x:v>
      </x:c>
    </x:row>
    <x:row r="80">
      <x:c r="A80" s="24" t="str">
        <x:f>'500件商品'!A80</x:f>
        <x:v>PX0076</x:v>
      </x:c>
      <x:c r="B80" s="24" t="str">
        <x:f>'500件商品'!B80</x:f>
        <x:v>牙刷組-小包裝</x:v>
      </x:c>
      <x:c r="C80" s="24" t="str">
        <x:f>'500件商品'!D80</x:f>
        <x:v>Cluster 2</x:v>
      </x:c>
      <x:c r="D80" s="26" t="n">
        <x:f>'500件商品'!F80</x:f>
        <x:v>48</x:v>
      </x:c>
      <x:c r="E80" s="24" t="str">
        <x:f>'500件商品'!K80</x:f>
        <x:v>否</x:v>
      </x:c>
      <x:c r="F80" s="24" t="str">
        <x:f>'500件商品'!L80</x:f>
      </x:c>
      <x:c r="G80" s="28" t="n">
        <x:f>'500件商品'!M80</x:f>
        <x:v>1.1</x:v>
      </x:c>
      <x:c r="H80" s="24" t="str">
        <x:f>'500件商品'!P80</x:f>
        <x:v>是</x:v>
      </x:c>
      <x:c r="I80" s="26" t="n">
        <x:f>'500件商品'!N80</x:f>
        <x:v>468</x:v>
      </x:c>
      <x:c r="J80" s="26" t="n">
        <x:f>'500件商品'!O80</x:f>
        <x:v>30</x:v>
      </x:c>
      <x:c r="K80" s="26" t="n">
        <x:f>IF(H80="是",CEILING(I80/J80,1),0)</x:f>
        <x:v>16</x:v>
      </x:c>
      <x:c r="L80" s="26" t="n">
        <x:f>ROUND(I80*G80,0)</x:f>
        <x:v>515</x:v>
      </x:c>
      <x:c r="M80" s="26" t="n">
        <x:f>IF(H80="是",CEILING(L80/J80,1),0)</x:f>
        <x:v>18</x:v>
      </x:c>
      <x:c r="N80" s="26" t="n">
        <x:f>M80-K80</x:f>
        <x:v>2</x:v>
      </x:c>
      <x:c r="O80" s="24" t="str">
        <x:f>'500件商品'!Q80</x:f>
        <x:v>A區</x:v>
      </x:c>
      <x:c r="P80" s="26" t="n">
        <x:f>'500件商品'!R80</x:f>
        <x:v>38</x:v>
      </x:c>
      <x:c r="Q80" s="24" t="str">
        <x:f>IF(H80="否","非棧板管理",IF(AND(E80="是",N80&gt;0),"季節彈性前移區",IF(OR(C80="Cluster 3",D80&gt;=55),"近端低層棧板區",IF(C80="Cluster 2","中段大貨位",IF(C80="Cluster 4","遠端彈性儲位","中段棧板區")))))</x:f>
        <x:v>中段大貨位</x:v>
      </x:c>
      <x:c r="R80" s="24" t="str">
        <x:f>IF(AND(H80="是",E80="是",N80&gt;0),"是","否")</x:f>
        <x:v>否</x:v>
      </x:c>
      <x:c r="S80" s="24" t="str">
        <x:f>IF(H80="否","非本次棧板儲位分析對象",IF(R80="是","旺季前需前移並增加棧板位",IF(N80&gt;0,"需增加棧板位",IF(N80&lt;0,"可釋放部分棧板位","維持現況"))))</x:f>
        <x:v>需增加棧板位</x:v>
      </x:c>
    </x:row>
    <x:row r="81">
      <x:c r="A81" s="24" t="str">
        <x:f>'500件商品'!A81</x:f>
        <x:v>PX0077</x:v>
      </x:c>
      <x:c r="B81" s="24" t="str">
        <x:f>'500件商品'!B81</x:f>
        <x:v>食用油-家庭號</x:v>
      </x:c>
      <x:c r="C81" s="24" t="str">
        <x:f>'500件商品'!D81</x:f>
        <x:v>Cluster 2</x:v>
      </x:c>
      <x:c r="D81" s="26" t="n">
        <x:f>'500件商品'!F81</x:f>
        <x:v>52</x:v>
      </x:c>
      <x:c r="E81" s="24" t="str">
        <x:f>'500件商品'!K81</x:f>
        <x:v>否</x:v>
      </x:c>
      <x:c r="F81" s="24" t="str">
        <x:f>'500件商品'!L81</x:f>
      </x:c>
      <x:c r="G81" s="28" t="n">
        <x:f>'500件商品'!M81</x:f>
        <x:v>1</x:v>
      </x:c>
      <x:c r="H81" s="24" t="str">
        <x:f>'500件商品'!P81</x:f>
        <x:v>是</x:v>
      </x:c>
      <x:c r="I81" s="26" t="n">
        <x:f>'500件商品'!N81</x:f>
        <x:v>329</x:v>
      </x:c>
      <x:c r="J81" s="26" t="n">
        <x:f>'500件商品'!O81</x:f>
        <x:v>48</x:v>
      </x:c>
      <x:c r="K81" s="26" t="n">
        <x:f>IF(H81="是",CEILING(I81/J81,1),0)</x:f>
        <x:v>7</x:v>
      </x:c>
      <x:c r="L81" s="26" t="n">
        <x:f>ROUND(I81*G81,0)</x:f>
        <x:v>329</x:v>
      </x:c>
      <x:c r="M81" s="26" t="n">
        <x:f>IF(H81="是",CEILING(L81/J81,1),0)</x:f>
        <x:v>7</x:v>
      </x:c>
      <x:c r="N81" s="26" t="n">
        <x:f>M81-K81</x:f>
        <x:v>0</x:v>
      </x:c>
      <x:c r="O81" s="24" t="str">
        <x:f>'500件商品'!Q81</x:f>
        <x:v>A區</x:v>
      </x:c>
      <x:c r="P81" s="26" t="n">
        <x:f>'500件商品'!R81</x:f>
        <x:v>22</x:v>
      </x:c>
      <x:c r="Q81" s="24" t="str">
        <x:f>IF(H81="否","非棧板管理",IF(AND(E81="是",N81&gt;0),"季節彈性前移區",IF(OR(C81="Cluster 3",D81&gt;=55),"近端低層棧板區",IF(C81="Cluster 2","中段大貨位",IF(C81="Cluster 4","遠端彈性儲位","中段棧板區")))))</x:f>
        <x:v>中段大貨位</x:v>
      </x:c>
      <x:c r="R81" s="24" t="str">
        <x:f>IF(AND(H81="是",E81="是",N81&gt;0),"是","否")</x:f>
        <x:v>否</x:v>
      </x:c>
      <x:c r="S81" s="24" t="str">
        <x:f>IF(H81="否","非本次棧板儲位分析對象",IF(R81="是","旺季前需前移並增加棧板位",IF(N81&gt;0,"需增加棧板位",IF(N81&lt;0,"可釋放部分棧板位","維持現況"))))</x:f>
        <x:v>維持現況</x:v>
      </x:c>
    </x:row>
    <x:row r="82">
      <x:c r="A82" s="24" t="str">
        <x:f>'500件商品'!A82</x:f>
        <x:v>PX0078</x:v>
      </x:c>
      <x:c r="B82" s="24" t="str">
        <x:f>'500件商品'!B82</x:f>
        <x:v>玻璃瓶醬料-家庭號</x:v>
      </x:c>
      <x:c r="C82" s="24" t="str">
        <x:f>'500件商品'!D82</x:f>
        <x:v>Cluster 4</x:v>
      </x:c>
      <x:c r="D82" s="26" t="n">
        <x:f>'500件商品'!F82</x:f>
        <x:v>47</x:v>
      </x:c>
      <x:c r="E82" s="24" t="str">
        <x:f>'500件商品'!K82</x:f>
        <x:v>是</x:v>
      </x:c>
      <x:c r="F82" s="24" t="str">
        <x:f>'500件商品'!L82</x:f>
        <x:v>旺季</x:v>
      </x:c>
      <x:c r="G82" s="28" t="n">
        <x:f>'500件商品'!M82</x:f>
        <x:v>1.8</x:v>
      </x:c>
      <x:c r="H82" s="24" t="str">
        <x:f>'500件商品'!P82</x:f>
        <x:v>是</x:v>
      </x:c>
      <x:c r="I82" s="26" t="n">
        <x:f>'500件商品'!N82</x:f>
        <x:v>459</x:v>
      </x:c>
      <x:c r="J82" s="26" t="n">
        <x:f>'500件商品'!O82</x:f>
        <x:v>48</x:v>
      </x:c>
      <x:c r="K82" s="26" t="n">
        <x:f>IF(H82="是",CEILING(I82/J82,1),0)</x:f>
        <x:v>10</x:v>
      </x:c>
      <x:c r="L82" s="26" t="n">
        <x:f>ROUND(I82*G82,0)</x:f>
        <x:v>826</x:v>
      </x:c>
      <x:c r="M82" s="26" t="n">
        <x:f>IF(H82="是",CEILING(L82/J82,1),0)</x:f>
        <x:v>18</x:v>
      </x:c>
      <x:c r="N82" s="26" t="n">
        <x:f>M82-K82</x:f>
        <x:v>8</x:v>
      </x:c>
      <x:c r="O82" s="24" t="str">
        <x:f>'500件商品'!Q82</x:f>
        <x:v>3區</x:v>
      </x:c>
      <x:c r="P82" s="26" t="n">
        <x:f>'500件商品'!R82</x:f>
        <x:v>37</x:v>
      </x:c>
      <x:c r="Q82" s="24" t="str">
        <x:f>IF(H82="否","非棧板管理",IF(AND(E82="是",N82&gt;0),"季節彈性前移區",IF(OR(C82="Cluster 3",D82&gt;=55),"近端低層棧板區",IF(C82="Cluster 2","中段大貨位",IF(C82="Cluster 4","遠端彈性儲位","中段棧板區")))))</x:f>
        <x:v>季節彈性前移區</x:v>
      </x:c>
      <x:c r="R82" s="24" t="str">
        <x:f>IF(AND(H82="是",E82="是",N82&gt;0),"是","否")</x:f>
        <x:v>是</x:v>
      </x:c>
      <x:c r="S82" s="24" t="str">
        <x:f>IF(H82="否","非本次棧板儲位分析對象",IF(R82="是","旺季前需前移並增加棧板位",IF(N82&gt;0,"需增加棧板位",IF(N82&lt;0,"可釋放部分棧板位","維持現況"))))</x:f>
        <x:v>旺季前需前移並增加棧板位</x:v>
      </x:c>
    </x:row>
    <x:row r="83">
      <x:c r="A83" s="24" t="str">
        <x:f>'500件商品'!A83</x:f>
        <x:v>PX0079</x:v>
      </x:c>
      <x:c r="B83" s="24" t="str">
        <x:f>'500件商品'!B83</x:f>
        <x:v>寵物罐頭箱-箱裝</x:v>
      </x:c>
      <x:c r="C83" s="24" t="str">
        <x:f>'500件商品'!D83</x:f>
        <x:v>Cluster 5</x:v>
      </x:c>
      <x:c r="D83" s="26" t="n">
        <x:f>'500件商品'!F83</x:f>
        <x:v>56</x:v>
      </x:c>
      <x:c r="E83" s="24" t="str">
        <x:f>'500件商品'!K83</x:f>
        <x:v>否</x:v>
      </x:c>
      <x:c r="F83" s="24" t="str">
        <x:f>'500件商品'!L83</x:f>
      </x:c>
      <x:c r="G83" s="28" t="n">
        <x:f>'500件商品'!M83</x:f>
        <x:v>1</x:v>
      </x:c>
      <x:c r="H83" s="24" t="str">
        <x:f>'500件商品'!P83</x:f>
        <x:v>是</x:v>
      </x:c>
      <x:c r="I83" s="26" t="n">
        <x:f>'500件商品'!N83</x:f>
        <x:v>377</x:v>
      </x:c>
      <x:c r="J83" s="26" t="n">
        <x:f>'500件商品'!O83</x:f>
        <x:v>60</x:v>
      </x:c>
      <x:c r="K83" s="26" t="n">
        <x:f>IF(H83="是",CEILING(I83/J83,1),0)</x:f>
        <x:v>7</x:v>
      </x:c>
      <x:c r="L83" s="26" t="n">
        <x:f>ROUND(I83*G83,0)</x:f>
        <x:v>377</x:v>
      </x:c>
      <x:c r="M83" s="26" t="n">
        <x:f>IF(H83="是",CEILING(L83/J83,1),0)</x:f>
        <x:v>7</x:v>
      </x:c>
      <x:c r="N83" s="26" t="n">
        <x:f>M83-K83</x:f>
        <x:v>0</x:v>
      </x:c>
      <x:c r="O83" s="24" t="str">
        <x:f>'500件商品'!Q83</x:f>
        <x:v>K區</x:v>
      </x:c>
      <x:c r="P83" s="26" t="n">
        <x:f>'500件商品'!R83</x:f>
        <x:v>51</x:v>
      </x:c>
      <x:c r="Q83" s="24" t="str">
        <x:f>IF(H83="否","非棧板管理",IF(AND(E83="是",N83&gt;0),"季節彈性前移區",IF(OR(C83="Cluster 3",D83&gt;=55),"近端低層棧板區",IF(C83="Cluster 2","中段大貨位",IF(C83="Cluster 4","遠端彈性儲位","中段棧板區")))))</x:f>
        <x:v>近端低層棧板區</x:v>
      </x:c>
      <x:c r="R83" s="24" t="str">
        <x:f>IF(AND(H83="是",E83="是",N83&gt;0),"是","否")</x:f>
        <x:v>否</x:v>
      </x:c>
      <x:c r="S83" s="24" t="str">
        <x:f>IF(H83="否","非本次棧板儲位分析對象",IF(R83="是","旺季前需前移並增加棧板位",IF(N83&gt;0,"需增加棧板位",IF(N83&lt;0,"可釋放部分棧板位","維持現況"))))</x:f>
        <x:v>維持現況</x:v>
      </x:c>
    </x:row>
    <x:row r="84">
      <x:c r="A84" s="24" t="str">
        <x:f>'500件商品'!A84</x:f>
        <x:v>PX0080</x:v>
      </x:c>
      <x:c r="B84" s="24" t="str">
        <x:f>'500件商品'!B84</x:f>
        <x:v>白米3kg-促銷組</x:v>
      </x:c>
      <x:c r="C84" s="24" t="str">
        <x:f>'500件商品'!D84</x:f>
        <x:v>Cluster 3</x:v>
      </x:c>
      <x:c r="D84" s="26" t="n">
        <x:f>'500件商品'!F84</x:f>
        <x:v>57</x:v>
      </x:c>
      <x:c r="E84" s="24" t="str">
        <x:f>'500件商品'!K84</x:f>
        <x:v>否</x:v>
      </x:c>
      <x:c r="F84" s="24" t="str">
        <x:f>'500件商品'!L84</x:f>
      </x:c>
      <x:c r="G84" s="28" t="n">
        <x:f>'500件商品'!M84</x:f>
        <x:v>1</x:v>
      </x:c>
      <x:c r="H84" s="24" t="str">
        <x:f>'500件商品'!P84</x:f>
        <x:v>是</x:v>
      </x:c>
      <x:c r="I84" s="26" t="n">
        <x:f>'500件商品'!N84</x:f>
        <x:v>331</x:v>
      </x:c>
      <x:c r="J84" s="26" t="n">
        <x:f>'500件商品'!O84</x:f>
        <x:v>40</x:v>
      </x:c>
      <x:c r="K84" s="26" t="n">
        <x:f>IF(H84="是",CEILING(I84/J84,1),0)</x:f>
        <x:v>9</x:v>
      </x:c>
      <x:c r="L84" s="26" t="n">
        <x:f>ROUND(I84*G84,0)</x:f>
        <x:v>331</x:v>
      </x:c>
      <x:c r="M84" s="26" t="n">
        <x:f>IF(H84="是",CEILING(L84/J84,1),0)</x:f>
        <x:v>9</x:v>
      </x:c>
      <x:c r="N84" s="26" t="n">
        <x:f>M84-K84</x:f>
        <x:v>0</x:v>
      </x:c>
      <x:c r="O84" s="24" t="str">
        <x:f>'500件商品'!Q84</x:f>
        <x:v>K區</x:v>
      </x:c>
      <x:c r="P84" s="26" t="n">
        <x:f>'500件商品'!R84</x:f>
        <x:v>45</x:v>
      </x:c>
      <x:c r="Q84" s="24" t="str">
        <x:f>IF(H84="否","非棧板管理",IF(AND(E84="是",N84&gt;0),"季節彈性前移區",IF(OR(C84="Cluster 3",D84&gt;=55),"近端低層棧板區",IF(C84="Cluster 2","中段大貨位",IF(C84="Cluster 4","遠端彈性儲位","中段棧板區")))))</x:f>
        <x:v>近端低層棧板區</x:v>
      </x:c>
      <x:c r="R84" s="24" t="str">
        <x:f>IF(AND(H84="是",E84="是",N84&gt;0),"是","否")</x:f>
        <x:v>否</x:v>
      </x:c>
      <x:c r="S84" s="24" t="str">
        <x:f>IF(H84="否","非本次棧板儲位分析對象",IF(R84="是","旺季前需前移並增加棧板位",IF(N84&gt;0,"需增加棧板位",IF(N84&lt;0,"可釋放部分棧板位","維持現況"))))</x:f>
        <x:v>維持現況</x:v>
      </x:c>
    </x:row>
    <x:row r="85">
      <x:c r="A85" s="24" t="str">
        <x:f>'500件商品'!A85</x:f>
        <x:v>PX0081</x:v>
      </x:c>
      <x:c r="B85" s="24" t="str">
        <x:f>'500件商品'!B85</x:f>
        <x:v>保鮮膜-補充包</x:v>
      </x:c>
      <x:c r="C85" s="24" t="str">
        <x:f>'500件商品'!D85</x:f>
        <x:v>Cluster 5</x:v>
      </x:c>
      <x:c r="D85" s="26" t="n">
        <x:f>'500件商品'!F85</x:f>
        <x:v>88</x:v>
      </x:c>
      <x:c r="E85" s="24" t="str">
        <x:f>'500件商品'!K85</x:f>
        <x:v>否</x:v>
      </x:c>
      <x:c r="F85" s="24" t="str">
        <x:f>'500件商品'!L85</x:f>
      </x:c>
      <x:c r="G85" s="28" t="n">
        <x:f>'500件商品'!M85</x:f>
        <x:v>1</x:v>
      </x:c>
      <x:c r="H85" s="24" t="str">
        <x:f>'500件商品'!P85</x:f>
        <x:v>是</x:v>
      </x:c>
      <x:c r="I85" s="26" t="n">
        <x:f>'500件商品'!N85</x:f>
        <x:v>501</x:v>
      </x:c>
      <x:c r="J85" s="26" t="n">
        <x:f>'500件商品'!O85</x:f>
        <x:v>60</x:v>
      </x:c>
      <x:c r="K85" s="26" t="n">
        <x:f>IF(H85="是",CEILING(I85/J85,1),0)</x:f>
        <x:v>9</x:v>
      </x:c>
      <x:c r="L85" s="26" t="n">
        <x:f>ROUND(I85*G85,0)</x:f>
        <x:v>501</x:v>
      </x:c>
      <x:c r="M85" s="26" t="n">
        <x:f>IF(H85="是",CEILING(L85/J85,1),0)</x:f>
        <x:v>9</x:v>
      </x:c>
      <x:c r="N85" s="26" t="n">
        <x:f>M85-K85</x:f>
        <x:v>0</x:v>
      </x:c>
      <x:c r="O85" s="24" t="str">
        <x:f>'500件商品'!Q85</x:f>
        <x:v>遠端區</x:v>
      </x:c>
      <x:c r="P85" s="26" t="n">
        <x:f>'500件商品'!R85</x:f>
        <x:v>60</x:v>
      </x:c>
      <x:c r="Q85" s="24" t="str">
        <x:f>IF(H85="否","非棧板管理",IF(AND(E85="是",N85&gt;0),"季節彈性前移區",IF(OR(C85="Cluster 3",D85&gt;=55),"近端低層棧板區",IF(C85="Cluster 2","中段大貨位",IF(C85="Cluster 4","遠端彈性儲位","中段棧板區")))))</x:f>
        <x:v>近端低層棧板區</x:v>
      </x:c>
      <x:c r="R85" s="24" t="str">
        <x:f>IF(AND(H85="是",E85="是",N85&gt;0),"是","否")</x:f>
        <x:v>否</x:v>
      </x:c>
      <x:c r="S85" s="24" t="str">
        <x:f>IF(H85="否","非本次棧板儲位分析對象",IF(R85="是","旺季前需前移並增加棧板位",IF(N85&gt;0,"需增加棧板位",IF(N85&lt;0,"可釋放部分棧板位","維持現況"))))</x:f>
        <x:v>維持現況</x:v>
      </x:c>
    </x:row>
    <x:row r="86">
      <x:c r="A86" s="24" t="str">
        <x:f>'500件商品'!A86</x:f>
        <x:v>PX0082</x:v>
      </x:c>
      <x:c r="B86" s="24" t="str">
        <x:f>'500件商品'!B86</x:f>
        <x:v>沐浴乳-標準箱</x:v>
      </x:c>
      <x:c r="C86" s="24" t="str">
        <x:f>'500件商品'!D86</x:f>
        <x:v>Cluster 3</x:v>
      </x:c>
      <x:c r="D86" s="26" t="n">
        <x:f>'500件商品'!F86</x:f>
        <x:v>83</x:v>
      </x:c>
      <x:c r="E86" s="24" t="str">
        <x:f>'500件商品'!K86</x:f>
        <x:v>否</x:v>
      </x:c>
      <x:c r="F86" s="24" t="str">
        <x:f>'500件商品'!L86</x:f>
      </x:c>
      <x:c r="G86" s="28" t="n">
        <x:f>'500件商品'!M86</x:f>
        <x:v>1.1</x:v>
      </x:c>
      <x:c r="H86" s="24" t="str">
        <x:f>'500件商品'!P86</x:f>
        <x:v>是</x:v>
      </x:c>
      <x:c r="I86" s="26" t="n">
        <x:f>'500件商品'!N86</x:f>
        <x:v>483</x:v>
      </x:c>
      <x:c r="J86" s="26" t="n">
        <x:f>'500件商品'!O86</x:f>
        <x:v>72</x:v>
      </x:c>
      <x:c r="K86" s="26" t="n">
        <x:f>IF(H86="是",CEILING(I86/J86,1),0)</x:f>
        <x:v>7</x:v>
      </x:c>
      <x:c r="L86" s="26" t="n">
        <x:f>ROUND(I86*G86,0)</x:f>
        <x:v>531</x:v>
      </x:c>
      <x:c r="M86" s="26" t="n">
        <x:f>IF(H86="是",CEILING(L86/J86,1),0)</x:f>
        <x:v>8</x:v>
      </x:c>
      <x:c r="N86" s="26" t="n">
        <x:f>M86-K86</x:f>
        <x:v>1</x:v>
      </x:c>
      <x:c r="O86" s="24" t="str">
        <x:f>'500件商品'!Q86</x:f>
        <x:v>遠端區</x:v>
      </x:c>
      <x:c r="P86" s="26" t="n">
        <x:f>'500件商品'!R86</x:f>
        <x:v>63</x:v>
      </x:c>
      <x:c r="Q86" s="24" t="str">
        <x:f>IF(H86="否","非棧板管理",IF(AND(E86="是",N86&gt;0),"季節彈性前移區",IF(OR(C86="Cluster 3",D86&gt;=55),"近端低層棧板區",IF(C86="Cluster 2","中段大貨位",IF(C86="Cluster 4","遠端彈性儲位","中段棧板區")))))</x:f>
        <x:v>近端低層棧板區</x:v>
      </x:c>
      <x:c r="R86" s="24" t="str">
        <x:f>IF(AND(H86="是",E86="是",N86&gt;0),"是","否")</x:f>
        <x:v>否</x:v>
      </x:c>
      <x:c r="S86" s="24" t="str">
        <x:f>IF(H86="否","非本次棧板儲位分析對象",IF(R86="是","旺季前需前移並增加棧板位",IF(N86&gt;0,"需增加棧板位",IF(N86&lt;0,"可釋放部分棧板位","維持現況"))))</x:f>
        <x:v>需增加棧板位</x:v>
      </x:c>
    </x:row>
    <x:row r="87">
      <x:c r="A87" s="24" t="str">
        <x:f>'500件商品'!A87</x:f>
        <x:v>PX0083</x:v>
      </x:c>
      <x:c r="B87" s="24" t="str">
        <x:f>'500件商品'!B87</x:f>
        <x:v>保鮮盒-箱裝</x:v>
      </x:c>
      <x:c r="C87" s="24" t="str">
        <x:f>'500件商品'!D87</x:f>
        <x:v>Cluster 5</x:v>
      </x:c>
      <x:c r="D87" s="26" t="n">
        <x:f>'500件商品'!F87</x:f>
        <x:v>87</x:v>
      </x:c>
      <x:c r="E87" s="24" t="str">
        <x:f>'500件商品'!K87</x:f>
        <x:v>否</x:v>
      </x:c>
      <x:c r="F87" s="24" t="str">
        <x:f>'500件商品'!L87</x:f>
      </x:c>
      <x:c r="G87" s="28" t="n">
        <x:f>'500件商品'!M87</x:f>
        <x:v>1</x:v>
      </x:c>
      <x:c r="H87" s="24" t="str">
        <x:f>'500件商品'!P87</x:f>
        <x:v>是</x:v>
      </x:c>
      <x:c r="I87" s="26" t="n">
        <x:f>'500件商品'!N87</x:f>
        <x:v>355</x:v>
      </x:c>
      <x:c r="J87" s="26" t="n">
        <x:f>'500件商品'!O87</x:f>
        <x:v>80</x:v>
      </x:c>
      <x:c r="K87" s="26" t="n">
        <x:f>IF(H87="是",CEILING(I87/J87,1),0)</x:f>
        <x:v>5</x:v>
      </x:c>
      <x:c r="L87" s="26" t="n">
        <x:f>ROUND(I87*G87,0)</x:f>
        <x:v>355</x:v>
      </x:c>
      <x:c r="M87" s="26" t="n">
        <x:f>IF(H87="是",CEILING(L87/J87,1),0)</x:f>
        <x:v>5</x:v>
      </x:c>
      <x:c r="N87" s="26" t="n">
        <x:f>M87-K87</x:f>
        <x:v>0</x:v>
      </x:c>
      <x:c r="O87" s="24" t="str">
        <x:f>'500件商品'!Q87</x:f>
        <x:v>1區</x:v>
      </x:c>
      <x:c r="P87" s="26" t="n">
        <x:f>'500件商品'!R87</x:f>
        <x:v>33</x:v>
      </x:c>
      <x:c r="Q87" s="24" t="str">
        <x:f>IF(H87="否","非棧板管理",IF(AND(E87="是",N87&gt;0),"季節彈性前移區",IF(OR(C87="Cluster 3",D87&gt;=55),"近端低層棧板區",IF(C87="Cluster 2","中段大貨位",IF(C87="Cluster 4","遠端彈性儲位","中段棧板區")))))</x:f>
        <x:v>近端低層棧板區</x:v>
      </x:c>
      <x:c r="R87" s="24" t="str">
        <x:f>IF(AND(H87="是",E87="是",N87&gt;0),"是","否")</x:f>
        <x:v>否</x:v>
      </x:c>
      <x:c r="S87" s="24" t="str">
        <x:f>IF(H87="否","非本次棧板儲位分析對象",IF(R87="是","旺季前需前移並增加棧板位",IF(N87&gt;0,"需增加棧板位",IF(N87&lt;0,"可釋放部分棧板位","維持現況"))))</x:f>
        <x:v>維持現況</x:v>
      </x:c>
    </x:row>
    <x:row r="88">
      <x:c r="A88" s="24" t="str">
        <x:f>'500件商品'!A88</x:f>
        <x:v>PX0084</x:v>
      </x:c>
      <x:c r="B88" s="24" t="str">
        <x:f>'500件商品'!B88</x:f>
        <x:v>防蚊用品-小包裝</x:v>
      </x:c>
      <x:c r="C88" s="24" t="str">
        <x:f>'500件商品'!D88</x:f>
        <x:v>Cluster 4</x:v>
      </x:c>
      <x:c r="D88" s="26" t="n">
        <x:f>'500件商品'!F88</x:f>
        <x:v>70</x:v>
      </x:c>
      <x:c r="E88" s="24" t="str">
        <x:f>'500件商品'!K88</x:f>
        <x:v>是</x:v>
      </x:c>
      <x:c r="F88" s="24" t="str">
        <x:f>'500件商品'!L88</x:f>
        <x:v>5-8月</x:v>
      </x:c>
      <x:c r="G88" s="28" t="n">
        <x:f>'500件商品'!M88</x:f>
        <x:v>1.8</x:v>
      </x:c>
      <x:c r="H88" s="24" t="str">
        <x:f>'500件商品'!P88</x:f>
        <x:v>是</x:v>
      </x:c>
      <x:c r="I88" s="26" t="n">
        <x:f>'500件商品'!N88</x:f>
        <x:v>596</x:v>
      </x:c>
      <x:c r="J88" s="26" t="n">
        <x:f>'500件商品'!O88</x:f>
        <x:v>80</x:v>
      </x:c>
      <x:c r="K88" s="26" t="n">
        <x:f>IF(H88="是",CEILING(I88/J88,1),0)</x:f>
        <x:v>8</x:v>
      </x:c>
      <x:c r="L88" s="26" t="n">
        <x:f>ROUND(I88*G88,0)</x:f>
        <x:v>1073</x:v>
      </x:c>
      <x:c r="M88" s="26" t="n">
        <x:f>IF(H88="是",CEILING(L88/J88,1),0)</x:f>
        <x:v>14</x:v>
      </x:c>
      <x:c r="N88" s="26" t="n">
        <x:f>M88-K88</x:f>
        <x:v>6</x:v>
      </x:c>
      <x:c r="O88" s="24" t="str">
        <x:f>'500件商品'!Q88</x:f>
        <x:v>彈性區</x:v>
      </x:c>
      <x:c r="P88" s="26" t="n">
        <x:f>'500件商品'!R88</x:f>
        <x:v>57</x:v>
      </x:c>
      <x:c r="Q88" s="24" t="str">
        <x:f>IF(H88="否","非棧板管理",IF(AND(E88="是",N88&gt;0),"季節彈性前移區",IF(OR(C88="Cluster 3",D88&gt;=55),"近端低層棧板區",IF(C88="Cluster 2","中段大貨位",IF(C88="Cluster 4","遠端彈性儲位","中段棧板區")))))</x:f>
        <x:v>季節彈性前移區</x:v>
      </x:c>
      <x:c r="R88" s="24" t="str">
        <x:f>IF(AND(H88="是",E88="是",N88&gt;0),"是","否")</x:f>
        <x:v>是</x:v>
      </x:c>
      <x:c r="S88" s="24" t="str">
        <x:f>IF(H88="否","非本次棧板儲位分析對象",IF(R88="是","旺季前需前移並增加棧板位",IF(N88&gt;0,"需增加棧板位",IF(N88&lt;0,"可釋放部分棧板位","維持現況"))))</x:f>
        <x:v>旺季前需前移並增加棧板位</x:v>
      </x:c>
    </x:row>
    <x:row r="89">
      <x:c r="A89" s="24" t="str">
        <x:f>'500件商品'!A89</x:f>
        <x:v>PX0085</x:v>
      </x:c>
      <x:c r="B89" s="24" t="str">
        <x:f>'500件商品'!B89</x:f>
        <x:v>食用油-促銷組</x:v>
      </x:c>
      <x:c r="C89" s="24" t="str">
        <x:f>'500件商品'!D89</x:f>
        <x:v>Cluster 3</x:v>
      </x:c>
      <x:c r="D89" s="26" t="n">
        <x:f>'500件商品'!F89</x:f>
        <x:v>82</x:v>
      </x:c>
      <x:c r="E89" s="24" t="str">
        <x:f>'500件商品'!K89</x:f>
        <x:v>否</x:v>
      </x:c>
      <x:c r="F89" s="24" t="str">
        <x:f>'500件商品'!L89</x:f>
      </x:c>
      <x:c r="G89" s="28" t="n">
        <x:f>'500件商品'!M89</x:f>
        <x:v>1</x:v>
      </x:c>
      <x:c r="H89" s="24" t="str">
        <x:f>'500件商品'!P89</x:f>
        <x:v>是</x:v>
      </x:c>
      <x:c r="I89" s="26" t="n">
        <x:f>'500件商品'!N89</x:f>
        <x:v>468</x:v>
      </x:c>
      <x:c r="J89" s="26" t="n">
        <x:f>'500件商品'!O89</x:f>
        <x:v>32</x:v>
      </x:c>
      <x:c r="K89" s="26" t="n">
        <x:f>IF(H89="是",CEILING(I89/J89,1),0)</x:f>
        <x:v>15</x:v>
      </x:c>
      <x:c r="L89" s="26" t="n">
        <x:f>ROUND(I89*G89,0)</x:f>
        <x:v>468</x:v>
      </x:c>
      <x:c r="M89" s="26" t="n">
        <x:f>IF(H89="是",CEILING(L89/J89,1),0)</x:f>
        <x:v>15</x:v>
      </x:c>
      <x:c r="N89" s="26" t="n">
        <x:f>M89-K89</x:f>
        <x:v>0</x:v>
      </x:c>
      <x:c r="O89" s="24" t="str">
        <x:f>'500件商品'!Q89</x:f>
        <x:v>遠端區</x:v>
      </x:c>
      <x:c r="P89" s="26" t="n">
        <x:f>'500件商品'!R89</x:f>
        <x:v>69</x:v>
      </x:c>
      <x:c r="Q89" s="24" t="str">
        <x:f>IF(H89="否","非棧板管理",IF(AND(E89="是",N89&gt;0),"季節彈性前移區",IF(OR(C89="Cluster 3",D89&gt;=55),"近端低層棧板區",IF(C89="Cluster 2","中段大貨位",IF(C89="Cluster 4","遠端彈性儲位","中段棧板區")))))</x:f>
        <x:v>近端低層棧板區</x:v>
      </x:c>
      <x:c r="R89" s="24" t="str">
        <x:f>IF(AND(H89="是",E89="是",N89&gt;0),"是","否")</x:f>
        <x:v>否</x:v>
      </x:c>
      <x:c r="S89" s="24" t="str">
        <x:f>IF(H89="否","非本次棧板儲位分析對象",IF(R89="是","旺季前需前移並增加棧板位",IF(N89&gt;0,"需增加棧板位",IF(N89&lt;0,"可釋放部分棧板位","維持現況"))))</x:f>
        <x:v>維持現況</x:v>
      </x:c>
    </x:row>
    <x:row r="90">
      <x:c r="A90" s="24" t="str">
        <x:f>'500件商品'!A90</x:f>
        <x:v>PX0086</x:v>
      </x:c>
      <x:c r="B90" s="24" t="str">
        <x:f>'500件商品'!B90</x:f>
        <x:v>寵物罐頭箱-小包裝</x:v>
      </x:c>
      <x:c r="C90" s="24" t="str">
        <x:f>'500件商品'!D90</x:f>
        <x:v>Cluster 5</x:v>
      </x:c>
      <x:c r="D90" s="26" t="n">
        <x:f>'500件商品'!F90</x:f>
        <x:v>50</x:v>
      </x:c>
      <x:c r="E90" s="24" t="str">
        <x:f>'500件商品'!K90</x:f>
        <x:v>否</x:v>
      </x:c>
      <x:c r="F90" s="24" t="str">
        <x:f>'500件商品'!L90</x:f>
      </x:c>
      <x:c r="G90" s="28" t="n">
        <x:f>'500件商品'!M90</x:f>
        <x:v>1.1</x:v>
      </x:c>
      <x:c r="H90" s="24" t="str">
        <x:f>'500件商品'!P90</x:f>
        <x:v>是</x:v>
      </x:c>
      <x:c r="I90" s="26" t="n">
        <x:f>'500件商品'!N90</x:f>
        <x:v>376</x:v>
      </x:c>
      <x:c r="J90" s="26" t="n">
        <x:f>'500件商品'!O90</x:f>
        <x:v>60</x:v>
      </x:c>
      <x:c r="K90" s="26" t="n">
        <x:f>IF(H90="是",CEILING(I90/J90,1),0)</x:f>
        <x:v>7</x:v>
      </x:c>
      <x:c r="L90" s="26" t="n">
        <x:f>ROUND(I90*G90,0)</x:f>
        <x:v>414</x:v>
      </x:c>
      <x:c r="M90" s="26" t="n">
        <x:f>IF(H90="是",CEILING(L90/J90,1),0)</x:f>
        <x:v>7</x:v>
      </x:c>
      <x:c r="N90" s="26" t="n">
        <x:f>M90-K90</x:f>
        <x:v>0</x:v>
      </x:c>
      <x:c r="O90" s="24" t="str">
        <x:f>'500件商品'!Q90</x:f>
        <x:v>1區</x:v>
      </x:c>
      <x:c r="P90" s="26" t="n">
        <x:f>'500件商品'!R90</x:f>
        <x:v>27</x:v>
      </x:c>
      <x:c r="Q90" s="24" t="str">
        <x:f>IF(H90="否","非棧板管理",IF(AND(E90="是",N90&gt;0),"季節彈性前移區",IF(OR(C90="Cluster 3",D90&gt;=55),"近端低層棧板區",IF(C90="Cluster 2","中段大貨位",IF(C90="Cluster 4","遠端彈性儲位","中段棧板區")))))</x:f>
        <x:v>中段棧板區</x:v>
      </x:c>
      <x:c r="R90" s="24" t="str">
        <x:f>IF(AND(H90="是",E90="是",N90&gt;0),"是","否")</x:f>
        <x:v>否</x:v>
      </x:c>
      <x:c r="S90" s="24" t="str">
        <x:f>IF(H90="否","非本次棧板儲位分析對象",IF(R90="是","旺季前需前移並增加棧板位",IF(N90&gt;0,"需增加棧板位",IF(N90&lt;0,"可釋放部分棧板位","維持現況"))))</x:f>
        <x:v>維持現況</x:v>
      </x:c>
    </x:row>
    <x:row r="91">
      <x:c r="A91" s="24" t="str">
        <x:f>'500件商品'!A91</x:f>
        <x:v>PX0087</x:v>
      </x:c>
      <x:c r="B91" s="24" t="str">
        <x:f>'500件商品'!B91</x:f>
        <x:v>洗衣粉箱-箱裝</x:v>
      </x:c>
      <x:c r="C91" s="24" t="str">
        <x:f>'500件商品'!D91</x:f>
        <x:v>Cluster 3</x:v>
      </x:c>
      <x:c r="D91" s="26" t="n">
        <x:f>'500件商品'!F91</x:f>
        <x:v>85</x:v>
      </x:c>
      <x:c r="E91" s="24" t="str">
        <x:f>'500件商品'!K91</x:f>
        <x:v>否</x:v>
      </x:c>
      <x:c r="F91" s="24" t="str">
        <x:f>'500件商品'!L91</x:f>
      </x:c>
      <x:c r="G91" s="28" t="n">
        <x:f>'500件商品'!M91</x:f>
        <x:v>1.1</x:v>
      </x:c>
      <x:c r="H91" s="24" t="str">
        <x:f>'500件商品'!P91</x:f>
        <x:v>是</x:v>
      </x:c>
      <x:c r="I91" s="26" t="n">
        <x:f>'500件商品'!N91</x:f>
        <x:v>606</x:v>
      </x:c>
      <x:c r="J91" s="26" t="n">
        <x:f>'500件商品'!O91</x:f>
        <x:v>72</x:v>
      </x:c>
      <x:c r="K91" s="26" t="n">
        <x:f>IF(H91="是",CEILING(I91/J91,1),0)</x:f>
        <x:v>9</x:v>
      </x:c>
      <x:c r="L91" s="26" t="n">
        <x:f>ROUND(I91*G91,0)</x:f>
        <x:v>667</x:v>
      </x:c>
      <x:c r="M91" s="26" t="n">
        <x:f>IF(H91="是",CEILING(L91/J91,1),0)</x:f>
        <x:v>10</x:v>
      </x:c>
      <x:c r="N91" s="26" t="n">
        <x:f>M91-K91</x:f>
        <x:v>1</x:v>
      </x:c>
      <x:c r="O91" s="24" t="str">
        <x:f>'500件商品'!Q91</x:f>
        <x:v>遠端區</x:v>
      </x:c>
      <x:c r="P91" s="26" t="n">
        <x:f>'500件商品'!R91</x:f>
        <x:v>67</x:v>
      </x:c>
      <x:c r="Q91" s="24" t="str">
        <x:f>IF(H91="否","非棧板管理",IF(AND(E91="是",N91&gt;0),"季節彈性前移區",IF(OR(C91="Cluster 3",D91&gt;=55),"近端低層棧板區",IF(C91="Cluster 2","中段大貨位",IF(C91="Cluster 4","遠端彈性儲位","中段棧板區")))))</x:f>
        <x:v>近端低層棧板區</x:v>
      </x:c>
      <x:c r="R91" s="24" t="str">
        <x:f>IF(AND(H91="是",E91="是",N91&gt;0),"是","否")</x:f>
        <x:v>否</x:v>
      </x:c>
      <x:c r="S91" s="24" t="str">
        <x:f>IF(H91="否","非本次棧板儲位分析對象",IF(R91="是","旺季前需前移並增加棧板位",IF(N91&gt;0,"需增加棧板位",IF(N91&lt;0,"可釋放部分棧板位","維持現況"))))</x:f>
        <x:v>需增加棧板位</x:v>
      </x:c>
    </x:row>
    <x:row r="92">
      <x:c r="A92" s="24" t="str">
        <x:f>'500件商品'!A92</x:f>
        <x:v>PX0088</x:v>
      </x:c>
      <x:c r="B92" s="24" t="str">
        <x:f>'500件商品'!B92</x:f>
        <x:v>泡麵箱-標準箱</x:v>
      </x:c>
      <x:c r="C92" s="24" t="str">
        <x:f>'500件商品'!D92</x:f>
        <x:v>Cluster 5</x:v>
      </x:c>
      <x:c r="D92" s="26" t="n">
        <x:f>'500件商品'!F92</x:f>
        <x:v>89</x:v>
      </x:c>
      <x:c r="E92" s="24" t="str">
        <x:f>'500件商品'!K92</x:f>
        <x:v>否</x:v>
      </x:c>
      <x:c r="F92" s="24" t="str">
        <x:f>'500件商品'!L92</x:f>
      </x:c>
      <x:c r="G92" s="28" t="n">
        <x:f>'500件商品'!M92</x:f>
        <x:v>1</x:v>
      </x:c>
      <x:c r="H92" s="24" t="str">
        <x:f>'500件商品'!P92</x:f>
        <x:v>是</x:v>
      </x:c>
      <x:c r="I92" s="26" t="n">
        <x:f>'500件商品'!N92</x:f>
        <x:v>567</x:v>
      </x:c>
      <x:c r="J92" s="26" t="n">
        <x:f>'500件商品'!O92</x:f>
        <x:v>72</x:v>
      </x:c>
      <x:c r="K92" s="26" t="n">
        <x:f>IF(H92="是",CEILING(I92/J92,1),0)</x:f>
        <x:v>8</x:v>
      </x:c>
      <x:c r="L92" s="26" t="n">
        <x:f>ROUND(I92*G92,0)</x:f>
        <x:v>567</x:v>
      </x:c>
      <x:c r="M92" s="26" t="n">
        <x:f>IF(H92="是",CEILING(L92/J92,1),0)</x:f>
        <x:v>8</x:v>
      </x:c>
      <x:c r="N92" s="26" t="n">
        <x:f>M92-K92</x:f>
        <x:v>0</x:v>
      </x:c>
      <x:c r="O92" s="24" t="str">
        <x:f>'500件商品'!Q92</x:f>
        <x:v>遠端區</x:v>
      </x:c>
      <x:c r="P92" s="26" t="n">
        <x:f>'500件商品'!R92</x:f>
        <x:v>58</x:v>
      </x:c>
      <x:c r="Q92" s="24" t="str">
        <x:f>IF(H92="否","非棧板管理",IF(AND(E92="是",N92&gt;0),"季節彈性前移區",IF(OR(C92="Cluster 3",D92&gt;=55),"近端低層棧板區",IF(C92="Cluster 2","中段大貨位",IF(C92="Cluster 4","遠端彈性儲位","中段棧板區")))))</x:f>
        <x:v>近端低層棧板區</x:v>
      </x:c>
      <x:c r="R92" s="24" t="str">
        <x:f>IF(AND(H92="是",E92="是",N92&gt;0),"是","否")</x:f>
        <x:v>否</x:v>
      </x:c>
      <x:c r="S92" s="24" t="str">
        <x:f>IF(H92="否","非本次棧板儲位分析對象",IF(R92="是","旺季前需前移並增加棧板位",IF(N92&gt;0,"需增加棧板位",IF(N92&lt;0,"可釋放部分棧板位","維持現況"))))</x:f>
        <x:v>維持現況</x:v>
      </x:c>
    </x:row>
    <x:row r="93">
      <x:c r="A93" s="24" t="str">
        <x:f>'500件商品'!A93</x:f>
        <x:v>PX0089</x:v>
      </x:c>
      <x:c r="B93" s="24" t="str">
        <x:f>'500件商品'!B93</x:f>
        <x:v>咖哩塊箱-小包裝</x:v>
      </x:c>
      <x:c r="C93" s="24" t="str">
        <x:f>'500件商品'!D93</x:f>
        <x:v>Cluster 5</x:v>
      </x:c>
      <x:c r="D93" s="26" t="n">
        <x:f>'500件商品'!F93</x:f>
        <x:v>84</x:v>
      </x:c>
      <x:c r="E93" s="24" t="str">
        <x:f>'500件商品'!K93</x:f>
        <x:v>否</x:v>
      </x:c>
      <x:c r="F93" s="24" t="str">
        <x:f>'500件商品'!L93</x:f>
      </x:c>
      <x:c r="G93" s="28" t="n">
        <x:f>'500件商品'!M93</x:f>
        <x:v>1</x:v>
      </x:c>
      <x:c r="H93" s="24" t="str">
        <x:f>'500件商品'!P93</x:f>
        <x:v>是</x:v>
      </x:c>
      <x:c r="I93" s="26" t="n">
        <x:f>'500件商品'!N93</x:f>
        <x:v>415</x:v>
      </x:c>
      <x:c r="J93" s="26" t="n">
        <x:f>'500件商品'!O93</x:f>
        <x:v>80</x:v>
      </x:c>
      <x:c r="K93" s="26" t="n">
        <x:f>IF(H93="是",CEILING(I93/J93,1),0)</x:f>
        <x:v>6</x:v>
      </x:c>
      <x:c r="L93" s="26" t="n">
        <x:f>ROUND(I93*G93,0)</x:f>
        <x:v>415</x:v>
      </x:c>
      <x:c r="M93" s="26" t="n">
        <x:f>IF(H93="是",CEILING(L93/J93,1),0)</x:f>
        <x:v>6</x:v>
      </x:c>
      <x:c r="N93" s="26" t="n">
        <x:f>M93-K93</x:f>
        <x:v>0</x:v>
      </x:c>
      <x:c r="O93" s="24" t="str">
        <x:f>'500件商品'!Q93</x:f>
        <x:v>彈性區</x:v>
      </x:c>
      <x:c r="P93" s="26" t="n">
        <x:f>'500件商品'!R93</x:f>
        <x:v>60</x:v>
      </x:c>
      <x:c r="Q93" s="24" t="str">
        <x:f>IF(H93="否","非棧板管理",IF(AND(E93="是",N93&gt;0),"季節彈性前移區",IF(OR(C93="Cluster 3",D93&gt;=55),"近端低層棧板區",IF(C93="Cluster 2","中段大貨位",IF(C93="Cluster 4","遠端彈性儲位","中段棧板區")))))</x:f>
        <x:v>近端低層棧板區</x:v>
      </x:c>
      <x:c r="R93" s="24" t="str">
        <x:f>IF(AND(H93="是",E93="是",N93&gt;0),"是","否")</x:f>
        <x:v>否</x:v>
      </x:c>
      <x:c r="S93" s="24" t="str">
        <x:f>IF(H93="否","非本次棧板儲位分析對象",IF(R93="是","旺季前需前移並增加棧板位",IF(N93&gt;0,"需增加棧板位",IF(N93&lt;0,"可釋放部分棧板位","維持現況"))))</x:f>
        <x:v>維持現況</x:v>
      </x:c>
    </x:row>
    <x:row r="94">
      <x:c r="A94" s="24" t="str">
        <x:f>'500件商品'!A94</x:f>
        <x:v>PX0090</x:v>
      </x:c>
      <x:c r="B94" s="24" t="str">
        <x:f>'500件商品'!B94</x:f>
        <x:v>手套耗材-家庭號</x:v>
      </x:c>
      <x:c r="C94" s="24" t="str">
        <x:f>'500件商品'!D94</x:f>
        <x:v>Cluster 5</x:v>
      </x:c>
      <x:c r="D94" s="26" t="n">
        <x:f>'500件商品'!F94</x:f>
        <x:v>85</x:v>
      </x:c>
      <x:c r="E94" s="24" t="str">
        <x:f>'500件商品'!K94</x:f>
        <x:v>否</x:v>
      </x:c>
      <x:c r="F94" s="24" t="str">
        <x:f>'500件商品'!L94</x:f>
      </x:c>
      <x:c r="G94" s="28" t="n">
        <x:f>'500件商品'!M94</x:f>
        <x:v>1.1</x:v>
      </x:c>
      <x:c r="H94" s="24" t="str">
        <x:f>'500件商品'!P94</x:f>
        <x:v>是</x:v>
      </x:c>
      <x:c r="I94" s="26" t="n">
        <x:f>'500件商品'!N94</x:f>
        <x:v>321</x:v>
      </x:c>
      <x:c r="J94" s="26" t="n">
        <x:f>'500件商品'!O94</x:f>
        <x:v>80</x:v>
      </x:c>
      <x:c r="K94" s="26" t="n">
        <x:f>IF(H94="是",CEILING(I94/J94,1),0)</x:f>
        <x:v>5</x:v>
      </x:c>
      <x:c r="L94" s="26" t="n">
        <x:f>ROUND(I94*G94,0)</x:f>
        <x:v>353</x:v>
      </x:c>
      <x:c r="M94" s="26" t="n">
        <x:f>IF(H94="是",CEILING(L94/J94,1),0)</x:f>
        <x:v>5</x:v>
      </x:c>
      <x:c r="N94" s="26" t="n">
        <x:f>M94-K94</x:f>
        <x:v>0</x:v>
      </x:c>
      <x:c r="O94" s="24" t="str">
        <x:f>'500件商品'!Q94</x:f>
        <x:v>1區</x:v>
      </x:c>
      <x:c r="P94" s="26" t="n">
        <x:f>'500件商品'!R94</x:f>
        <x:v>34</x:v>
      </x:c>
      <x:c r="Q94" s="24" t="str">
        <x:f>IF(H94="否","非棧板管理",IF(AND(E94="是",N94&gt;0),"季節彈性前移區",IF(OR(C94="Cluster 3",D94&gt;=55),"近端低層棧板區",IF(C94="Cluster 2","中段大貨位",IF(C94="Cluster 4","遠端彈性儲位","中段棧板區")))))</x:f>
        <x:v>近端低層棧板區</x:v>
      </x:c>
      <x:c r="R94" s="24" t="str">
        <x:f>IF(AND(H94="是",E94="是",N94&gt;0),"是","否")</x:f>
        <x:v>否</x:v>
      </x:c>
      <x:c r="S94" s="24" t="str">
        <x:f>IF(H94="否","非本次棧板儲位分析對象",IF(R94="是","旺季前需前移並增加棧板位",IF(N94&gt;0,"需增加棧板位",IF(N94&lt;0,"可釋放部分棧板位","維持現況"))))</x:f>
        <x:v>維持現況</x:v>
      </x:c>
    </x:row>
    <x:row r="95">
      <x:c r="A95" s="24" t="str">
        <x:f>'500件商品'!A95</x:f>
        <x:v>PX0091</x:v>
      </x:c>
      <x:c r="B95" s="24" t="str">
        <x:f>'500件商品'!B95</x:f>
        <x:v>尿布箱-補充包</x:v>
      </x:c>
      <x:c r="C95" s="24" t="str">
        <x:f>'500件商品'!D95</x:f>
        <x:v>Cluster 2</x:v>
      </x:c>
      <x:c r="D95" s="26" t="n">
        <x:f>'500件商品'!F95</x:f>
        <x:v>15</x:v>
      </x:c>
      <x:c r="E95" s="24" t="str">
        <x:f>'500件商品'!K95</x:f>
        <x:v>否</x:v>
      </x:c>
      <x:c r="F95" s="24" t="str">
        <x:f>'500件商品'!L95</x:f>
      </x:c>
      <x:c r="G95" s="28" t="n">
        <x:f>'500件商品'!M95</x:f>
        <x:v>1.1</x:v>
      </x:c>
      <x:c r="H95" s="24" t="str">
        <x:f>'500件商品'!P95</x:f>
        <x:v>是</x:v>
      </x:c>
      <x:c r="I95" s="26" t="n">
        <x:f>'500件商品'!N95</x:f>
        <x:v>119</x:v>
      </x:c>
      <x:c r="J95" s="26" t="n">
        <x:f>'500件商品'!O95</x:f>
        <x:v>30</x:v>
      </x:c>
      <x:c r="K95" s="26" t="n">
        <x:f>IF(H95="是",CEILING(I95/J95,1),0)</x:f>
        <x:v>4</x:v>
      </x:c>
      <x:c r="L95" s="26" t="n">
        <x:f>ROUND(I95*G95,0)</x:f>
        <x:v>131</x:v>
      </x:c>
      <x:c r="M95" s="26" t="n">
        <x:f>IF(H95="是",CEILING(L95/J95,1),0)</x:f>
        <x:v>5</x:v>
      </x:c>
      <x:c r="N95" s="26" t="n">
        <x:f>M95-K95</x:f>
        <x:v>1</x:v>
      </x:c>
      <x:c r="O95" s="24" t="str">
        <x:f>'500件商品'!Q95</x:f>
        <x:v>A區</x:v>
      </x:c>
      <x:c r="P95" s="26" t="n">
        <x:f>'500件商品'!R95</x:f>
        <x:v>31</x:v>
      </x:c>
      <x:c r="Q95" s="24" t="str">
        <x:f>IF(H95="否","非棧板管理",IF(AND(E95="是",N95&gt;0),"季節彈性前移區",IF(OR(C95="Cluster 3",D95&gt;=55),"近端低層棧板區",IF(C95="Cluster 2","中段大貨位",IF(C95="Cluster 4","遠端彈性儲位","中段棧板區")))))</x:f>
        <x:v>中段大貨位</x:v>
      </x:c>
      <x:c r="R95" s="24" t="str">
        <x:f>IF(AND(H95="是",E95="是",N95&gt;0),"是","否")</x:f>
        <x:v>否</x:v>
      </x:c>
      <x:c r="S95" s="24" t="str">
        <x:f>IF(H95="否","非本次棧板儲位分析對象",IF(R95="是","旺季前需前移並增加棧板位",IF(N95&gt;0,"需增加棧板位",IF(N95&lt;0,"可釋放部分棧板位","維持現況"))))</x:f>
        <x:v>需增加棧板位</x:v>
      </x:c>
    </x:row>
    <x:row r="96">
      <x:c r="A96" s="24" t="str">
        <x:f>'500件商品'!A96</x:f>
        <x:v>PX0092</x:v>
      </x:c>
      <x:c r="B96" s="24" t="str">
        <x:f>'500件商品'!B96</x:f>
        <x:v>捲筒衛生紙-促銷組</x:v>
      </x:c>
      <x:c r="C96" s="24" t="str">
        <x:f>'500件商品'!D96</x:f>
        <x:v>Cluster 2</x:v>
      </x:c>
      <x:c r="D96" s="26" t="n">
        <x:f>'500件商品'!F96</x:f>
        <x:v>81</x:v>
      </x:c>
      <x:c r="E96" s="24" t="str">
        <x:f>'500件商品'!K96</x:f>
        <x:v>否</x:v>
      </x:c>
      <x:c r="F96" s="24" t="str">
        <x:f>'500件商品'!L96</x:f>
      </x:c>
      <x:c r="G96" s="28" t="n">
        <x:f>'500件商品'!M96</x:f>
        <x:v>1</x:v>
      </x:c>
      <x:c r="H96" s="24" t="str">
        <x:f>'500件商品'!P96</x:f>
        <x:v>是</x:v>
      </x:c>
      <x:c r="I96" s="26" t="n">
        <x:f>'500件商品'!N96</x:f>
        <x:v>440</x:v>
      </x:c>
      <x:c r="J96" s="26" t="n">
        <x:f>'500件商品'!O96</x:f>
        <x:v>30</x:v>
      </x:c>
      <x:c r="K96" s="26" t="n">
        <x:f>IF(H96="是",CEILING(I96/J96,1),0)</x:f>
        <x:v>15</x:v>
      </x:c>
      <x:c r="L96" s="26" t="n">
        <x:f>ROUND(I96*G96,0)</x:f>
        <x:v>440</x:v>
      </x:c>
      <x:c r="M96" s="26" t="n">
        <x:f>IF(H96="是",CEILING(L96/J96,1),0)</x:f>
        <x:v>15</x:v>
      </x:c>
      <x:c r="N96" s="26" t="n">
        <x:f>M96-K96</x:f>
        <x:v>0</x:v>
      </x:c>
      <x:c r="O96" s="24" t="str">
        <x:f>'500件商品'!Q96</x:f>
        <x:v>K區</x:v>
      </x:c>
      <x:c r="P96" s="26" t="n">
        <x:f>'500件商品'!R96</x:f>
        <x:v>47</x:v>
      </x:c>
      <x:c r="Q96" s="24" t="str">
        <x:f>IF(H96="否","非棧板管理",IF(AND(E96="是",N96&gt;0),"季節彈性前移區",IF(OR(C96="Cluster 3",D96&gt;=55),"近端低層棧板區",IF(C96="Cluster 2","中段大貨位",IF(C96="Cluster 4","遠端彈性儲位","中段棧板區")))))</x:f>
        <x:v>近端低層棧板區</x:v>
      </x:c>
      <x:c r="R96" s="24" t="str">
        <x:f>IF(AND(H96="是",E96="是",N96&gt;0),"是","否")</x:f>
        <x:v>否</x:v>
      </x:c>
      <x:c r="S96" s="24" t="str">
        <x:f>IF(H96="否","非本次棧板儲位分析對象",IF(R96="是","旺季前需前移並增加棧板位",IF(N96&gt;0,"需增加棧板位",IF(N96&lt;0,"可釋放部分棧板位","維持現況"))))</x:f>
        <x:v>維持現況</x:v>
      </x:c>
    </x:row>
    <x:row r="97">
      <x:c r="A97" s="24" t="str">
        <x:f>'500件商品'!A97</x:f>
        <x:v>PX0093</x:v>
      </x:c>
      <x:c r="B97" s="24" t="str">
        <x:f>'500件商品'!B97</x:f>
        <x:v>貓砂10L-促銷組</x:v>
      </x:c>
      <x:c r="C97" s="24" t="str">
        <x:f>'500件商品'!D97</x:f>
        <x:v>Cluster 3</x:v>
      </x:c>
      <x:c r="D97" s="26" t="n">
        <x:f>'500件商品'!F97</x:f>
        <x:v>87</x:v>
      </x:c>
      <x:c r="E97" s="24" t="str">
        <x:f>'500件商品'!K97</x:f>
        <x:v>否</x:v>
      </x:c>
      <x:c r="F97" s="24" t="str">
        <x:f>'500件商品'!L97</x:f>
      </x:c>
      <x:c r="G97" s="28" t="n">
        <x:f>'500件商品'!M97</x:f>
        <x:v>1.1</x:v>
      </x:c>
      <x:c r="H97" s="24" t="str">
        <x:f>'500件商品'!P97</x:f>
        <x:v>是</x:v>
      </x:c>
      <x:c r="I97" s="26" t="n">
        <x:f>'500件商品'!N97</x:f>
        <x:v>576</x:v>
      </x:c>
      <x:c r="J97" s="26" t="n">
        <x:f>'500件商品'!O97</x:f>
        <x:v>20</x:v>
      </x:c>
      <x:c r="K97" s="26" t="n">
        <x:f>IF(H97="是",CEILING(I97/J97,1),0)</x:f>
        <x:v>29</x:v>
      </x:c>
      <x:c r="L97" s="26" t="n">
        <x:f>ROUND(I97*G97,0)</x:f>
        <x:v>634</x:v>
      </x:c>
      <x:c r="M97" s="26" t="n">
        <x:f>IF(H97="是",CEILING(L97/J97,1),0)</x:f>
        <x:v>32</x:v>
      </x:c>
      <x:c r="N97" s="26" t="n">
        <x:f>M97-K97</x:f>
        <x:v>3</x:v>
      </x:c>
      <x:c r="O97" s="24" t="str">
        <x:f>'500件商品'!Q97</x:f>
        <x:v>彈性區</x:v>
      </x:c>
      <x:c r="P97" s="26" t="n">
        <x:f>'500件商品'!R97</x:f>
        <x:v>64</x:v>
      </x:c>
      <x:c r="Q97" s="24" t="str">
        <x:f>IF(H97="否","非棧板管理",IF(AND(E97="是",N97&gt;0),"季節彈性前移區",IF(OR(C97="Cluster 3",D97&gt;=55),"近端低層棧板區",IF(C97="Cluster 2","中段大貨位",IF(C97="Cluster 4","遠端彈性儲位","中段棧板區")))))</x:f>
        <x:v>近端低層棧板區</x:v>
      </x:c>
      <x:c r="R97" s="24" t="str">
        <x:f>IF(AND(H97="是",E97="是",N97&gt;0),"是","否")</x:f>
        <x:v>否</x:v>
      </x:c>
      <x:c r="S97" s="24" t="str">
        <x:f>IF(H97="否","非本次棧板儲位分析對象",IF(R97="是","旺季前需前移並增加棧板位",IF(N97&gt;0,"需增加棧板位",IF(N97&lt;0,"可釋放部分棧板位","維持現況"))))</x:f>
        <x:v>需增加棧板位</x:v>
      </x:c>
    </x:row>
    <x:row r="98">
      <x:c r="A98" s="24" t="str">
        <x:f>'500件商品'!A98</x:f>
        <x:v>PX0094</x:v>
      </x:c>
      <x:c r="B98" s="24" t="str">
        <x:f>'500件商品'!B98</x:f>
        <x:v>寵物飼料5kg-促銷組</x:v>
      </x:c>
      <x:c r="C98" s="24" t="str">
        <x:f>'500件商品'!D98</x:f>
        <x:v>Cluster 2</x:v>
      </x:c>
      <x:c r="D98" s="26" t="n">
        <x:f>'500件商品'!F98</x:f>
        <x:v>53</x:v>
      </x:c>
      <x:c r="E98" s="24" t="str">
        <x:f>'500件商品'!K98</x:f>
        <x:v>否</x:v>
      </x:c>
      <x:c r="F98" s="24" t="str">
        <x:f>'500件商品'!L98</x:f>
      </x:c>
      <x:c r="G98" s="28" t="n">
        <x:f>'500件商品'!M98</x:f>
        <x:v>1.1</x:v>
      </x:c>
      <x:c r="H98" s="24" t="str">
        <x:f>'500件商品'!P98</x:f>
        <x:v>是</x:v>
      </x:c>
      <x:c r="I98" s="26" t="n">
        <x:f>'500件商品'!N98</x:f>
        <x:v>508</x:v>
      </x:c>
      <x:c r="J98" s="26" t="n">
        <x:f>'500件商品'!O98</x:f>
        <x:v>20</x:v>
      </x:c>
      <x:c r="K98" s="26" t="n">
        <x:f>IF(H98="是",CEILING(I98/J98,1),0)</x:f>
        <x:v>26</x:v>
      </x:c>
      <x:c r="L98" s="26" t="n">
        <x:f>ROUND(I98*G98,0)</x:f>
        <x:v>559</x:v>
      </x:c>
      <x:c r="M98" s="26" t="n">
        <x:f>IF(H98="是",CEILING(L98/J98,1),0)</x:f>
        <x:v>28</x:v>
      </x:c>
      <x:c r="N98" s="26" t="n">
        <x:f>M98-K98</x:f>
        <x:v>2</x:v>
      </x:c>
      <x:c r="O98" s="24" t="str">
        <x:f>'500件商品'!Q98</x:f>
        <x:v>K區</x:v>
      </x:c>
      <x:c r="P98" s="26" t="n">
        <x:f>'500件商品'!R98</x:f>
        <x:v>50</x:v>
      </x:c>
      <x:c r="Q98" s="24" t="str">
        <x:f>IF(H98="否","非棧板管理",IF(AND(E98="是",N98&gt;0),"季節彈性前移區",IF(OR(C98="Cluster 3",D98&gt;=55),"近端低層棧板區",IF(C98="Cluster 2","中段大貨位",IF(C98="Cluster 4","遠端彈性儲位","中段棧板區")))))</x:f>
        <x:v>中段大貨位</x:v>
      </x:c>
      <x:c r="R98" s="24" t="str">
        <x:f>IF(AND(H98="是",E98="是",N98&gt;0),"是","否")</x:f>
        <x:v>否</x:v>
      </x:c>
      <x:c r="S98" s="24" t="str">
        <x:f>IF(H98="否","非本次棧板儲位分析對象",IF(R98="是","旺季前需前移並增加棧板位",IF(N98&gt;0,"需增加棧板位",IF(N98&lt;0,"可釋放部分棧板位","維持現況"))))</x:f>
        <x:v>需增加棧板位</x:v>
      </x:c>
    </x:row>
    <x:row r="99">
      <x:c r="A99" s="24" t="str">
        <x:f>'500件商品'!A99</x:f>
        <x:v>PX0095</x:v>
      </x:c>
      <x:c r="B99" s="24" t="str">
        <x:f>'500件商品'!B99</x:f>
        <x:v>手套耗材-補充包</x:v>
      </x:c>
      <x:c r="C99" s="24" t="str">
        <x:f>'500件商品'!D99</x:f>
        <x:v>Cluster 5</x:v>
      </x:c>
      <x:c r="D99" s="26" t="n">
        <x:f>'500件商品'!F99</x:f>
        <x:v>25</x:v>
      </x:c>
      <x:c r="E99" s="24" t="str">
        <x:f>'500件商品'!K99</x:f>
        <x:v>否</x:v>
      </x:c>
      <x:c r="F99" s="24" t="str">
        <x:f>'500件商品'!L99</x:f>
      </x:c>
      <x:c r="G99" s="28" t="n">
        <x:f>'500件商品'!M99</x:f>
        <x:v>1</x:v>
      </x:c>
      <x:c r="H99" s="24" t="str">
        <x:f>'500件商品'!P99</x:f>
        <x:v>否</x:v>
      </x:c>
      <x:c r="I99" s="26" t="n">
        <x:f>'500件商品'!N99</x:f>
        <x:v>107</x:v>
      </x:c>
      <x:c r="J99" s="26" t="str">
        <x:f>'500件商品'!O99</x:f>
      </x:c>
      <x:c r="K99" s="26" t="n">
        <x:f>IF(H99="是",CEILING(I99/J99,1),0)</x:f>
        <x:v>0</x:v>
      </x:c>
      <x:c r="L99" s="26" t="n">
        <x:f>ROUND(I99*G99,0)</x:f>
        <x:v>107</x:v>
      </x:c>
      <x:c r="M99" s="26" t="n">
        <x:f>IF(H99="是",CEILING(L99/J99,1),0)</x:f>
        <x:v>0</x:v>
      </x:c>
      <x:c r="N99" s="26" t="n">
        <x:f>M99-K99</x:f>
        <x:v>0</x:v>
      </x:c>
      <x:c r="O99" s="24" t="str">
        <x:f>'500件商品'!Q99</x:f>
        <x:v>K區</x:v>
      </x:c>
      <x:c r="P99" s="26" t="n">
        <x:f>'500件商品'!R99</x:f>
        <x:v>39</x:v>
      </x:c>
      <x:c r="Q99" s="24" t="str">
        <x:f>IF(H99="否","非棧板管理",IF(AND(E99="是",N99&gt;0),"季節彈性前移區",IF(OR(C99="Cluster 3",D99&gt;=55),"近端低層棧板區",IF(C99="Cluster 2","中段大貨位",IF(C99="Cluster 4","遠端彈性儲位","中段棧板區")))))</x:f>
        <x:v>非棧板管理</x:v>
      </x:c>
      <x:c r="R99" s="24" t="str">
        <x:f>IF(AND(H99="是",E99="是",N99&gt;0),"是","否")</x:f>
        <x:v>否</x:v>
      </x:c>
      <x:c r="S99" s="24" t="str">
        <x:f>IF(H99="否","非本次棧板儲位分析對象",IF(R99="是","旺季前需前移並增加棧板位",IF(N99&gt;0,"需增加棧板位",IF(N99&lt;0,"可釋放部分棧板位","維持現況"))))</x:f>
        <x:v>非本次棧板儲位分析對象</x:v>
      </x:c>
    </x:row>
    <x:row r="100">
      <x:c r="A100" s="24" t="str">
        <x:f>'500件商品'!A100</x:f>
        <x:v>PX0096</x:v>
      </x:c>
      <x:c r="B100" s="24" t="str">
        <x:f>'500件商品'!B100</x:f>
        <x:v>果汁飲料整箱-小包裝</x:v>
      </x:c>
      <x:c r="C100" s="24" t="str">
        <x:f>'500件商品'!D100</x:f>
        <x:v>Cluster 4</x:v>
      </x:c>
      <x:c r="D100" s="26" t="n">
        <x:f>'500件商品'!F100</x:f>
        <x:v>23</x:v>
      </x:c>
      <x:c r="E100" s="24" t="str">
        <x:f>'500件商品'!K100</x:f>
        <x:v>是</x:v>
      </x:c>
      <x:c r="F100" s="24" t="str">
        <x:f>'500件商品'!L100</x:f>
        <x:v>旺季</x:v>
      </x:c>
      <x:c r="G100" s="28" t="n">
        <x:f>'500件商品'!M100</x:f>
        <x:v>1.8</x:v>
      </x:c>
      <x:c r="H100" s="24" t="str">
        <x:f>'500件商品'!P100</x:f>
        <x:v>是</x:v>
      </x:c>
      <x:c r="I100" s="26" t="n">
        <x:f>'500件商品'!N100</x:f>
        <x:v>43</x:v>
      </x:c>
      <x:c r="J100" s="26" t="n">
        <x:f>'500件商品'!O100</x:f>
        <x:v>48</x:v>
      </x:c>
      <x:c r="K100" s="26" t="n">
        <x:f>IF(H100="是",CEILING(I100/J100,1),0)</x:f>
        <x:v>1</x:v>
      </x:c>
      <x:c r="L100" s="26" t="n">
        <x:f>ROUND(I100*G100,0)</x:f>
        <x:v>77</x:v>
      </x:c>
      <x:c r="M100" s="26" t="n">
        <x:f>IF(H100="是",CEILING(L100/J100,1),0)</x:f>
        <x:v>2</x:v>
      </x:c>
      <x:c r="N100" s="26" t="n">
        <x:f>M100-K100</x:f>
        <x:v>1</x:v>
      </x:c>
      <x:c r="O100" s="24" t="str">
        <x:f>'500件商品'!Q100</x:f>
        <x:v>1區</x:v>
      </x:c>
      <x:c r="P100" s="26" t="n">
        <x:f>'500件商品'!R100</x:f>
        <x:v>24</x:v>
      </x:c>
      <x:c r="Q100" s="24" t="str">
        <x:f>IF(H100="否","非棧板管理",IF(AND(E100="是",N100&gt;0),"季節彈性前移區",IF(OR(C100="Cluster 3",D100&gt;=55),"近端低層棧板區",IF(C100="Cluster 2","中段大貨位",IF(C100="Cluster 4","遠端彈性儲位","中段棧板區")))))</x:f>
        <x:v>季節彈性前移區</x:v>
      </x:c>
      <x:c r="R100" s="24" t="str">
        <x:f>IF(AND(H100="是",E100="是",N100&gt;0),"是","否")</x:f>
        <x:v>是</x:v>
      </x:c>
      <x:c r="S100" s="24" t="str">
        <x:f>IF(H100="否","非本次棧板儲位分析對象",IF(R100="是","旺季前需前移並增加棧板位",IF(N100&gt;0,"需增加棧板位",IF(N100&lt;0,"可釋放部分棧板位","維持現況"))))</x:f>
        <x:v>旺季前需前移並增加棧板位</x:v>
      </x:c>
    </x:row>
    <x:row r="101">
      <x:c r="A101" s="24" t="str">
        <x:f>'500件商品'!A101</x:f>
        <x:v>PX0097</x:v>
      </x:c>
      <x:c r="B101" s="24" t="str">
        <x:f>'500件商品'!B101</x:f>
        <x:v>洗衣粉箱-小包裝</x:v>
      </x:c>
      <x:c r="C101" s="24" t="str">
        <x:f>'500件商品'!D101</x:f>
        <x:v>Cluster 1</x:v>
      </x:c>
      <x:c r="D101" s="26" t="n">
        <x:f>'500件商品'!F101</x:f>
        <x:v>12</x:v>
      </x:c>
      <x:c r="E101" s="24" t="str">
        <x:f>'500件商品'!K101</x:f>
        <x:v>否</x:v>
      </x:c>
      <x:c r="F101" s="24" t="str">
        <x:f>'500件商品'!L101</x:f>
      </x:c>
      <x:c r="G101" s="28" t="n">
        <x:f>'500件商品'!M101</x:f>
        <x:v>1</x:v>
      </x:c>
      <x:c r="H101" s="24" t="str">
        <x:f>'500件商品'!P101</x:f>
        <x:v>是</x:v>
      </x:c>
      <x:c r="I101" s="26" t="n">
        <x:f>'500件商品'!N101</x:f>
        <x:v>38</x:v>
      </x:c>
      <x:c r="J101" s="26" t="n">
        <x:f>'500件商品'!O101</x:f>
        <x:v>72</x:v>
      </x:c>
      <x:c r="K101" s="26" t="n">
        <x:f>IF(H101="是",CEILING(I101/J101,1),0)</x:f>
        <x:v>1</x:v>
      </x:c>
      <x:c r="L101" s="26" t="n">
        <x:f>ROUND(I101*G101,0)</x:f>
        <x:v>38</x:v>
      </x:c>
      <x:c r="M101" s="26" t="n">
        <x:f>IF(H101="是",CEILING(L101/J101,1),0)</x:f>
        <x:v>1</x:v>
      </x:c>
      <x:c r="N101" s="26" t="n">
        <x:f>M101-K101</x:f>
        <x:v>0</x:v>
      </x:c>
      <x:c r="O101" s="24" t="str">
        <x:f>'500件商品'!Q101</x:f>
        <x:v>1區</x:v>
      </x:c>
      <x:c r="P101" s="26" t="n">
        <x:f>'500件商品'!R101</x:f>
        <x:v>23</x:v>
      </x:c>
      <x:c r="Q101" s="24" t="str">
        <x:f>IF(H101="否","非棧板管理",IF(AND(E101="是",N101&gt;0),"季節彈性前移區",IF(OR(C101="Cluster 3",D101&gt;=55),"近端低層棧板區",IF(C101="Cluster 2","中段大貨位",IF(C101="Cluster 4","遠端彈性儲位","中段棧板區")))))</x:f>
        <x:v>中段棧板區</x:v>
      </x:c>
      <x:c r="R101" s="24" t="str">
        <x:f>IF(AND(H101="是",E101="是",N101&gt;0),"是","否")</x:f>
        <x:v>否</x:v>
      </x:c>
      <x:c r="S101" s="24" t="str">
        <x:f>IF(H101="否","非本次棧板儲位分析對象",IF(R101="是","旺季前需前移並增加棧板位",IF(N101&gt;0,"需增加棧板位",IF(N101&lt;0,"可釋放部分棧板位","維持現況"))))</x:f>
        <x:v>維持現況</x:v>
      </x:c>
    </x:row>
    <x:row r="102">
      <x:c r="A102" s="24" t="str">
        <x:f>'500件商品'!A102</x:f>
        <x:v>PX0098</x:v>
      </x:c>
      <x:c r="B102" s="24" t="str">
        <x:f>'500件商品'!B102</x:f>
        <x:v>鋁箔紙-小包裝</x:v>
      </x:c>
      <x:c r="C102" s="24" t="str">
        <x:f>'500件商品'!D102</x:f>
        <x:v>Cluster 5</x:v>
      </x:c>
      <x:c r="D102" s="26" t="n">
        <x:f>'500件商品'!F102</x:f>
        <x:v>30</x:v>
      </x:c>
      <x:c r="E102" s="24" t="str">
        <x:f>'500件商品'!K102</x:f>
        <x:v>否</x:v>
      </x:c>
      <x:c r="F102" s="24" t="str">
        <x:f>'500件商品'!L102</x:f>
      </x:c>
      <x:c r="G102" s="28" t="n">
        <x:f>'500件商品'!M102</x:f>
        <x:v>1</x:v>
      </x:c>
      <x:c r="H102" s="24" t="str">
        <x:f>'500件商品'!P102</x:f>
        <x:v>否</x:v>
      </x:c>
      <x:c r="I102" s="26" t="n">
        <x:f>'500件商品'!N102</x:f>
        <x:v>108</x:v>
      </x:c>
      <x:c r="J102" s="26" t="str">
        <x:f>'500件商品'!O102</x:f>
      </x:c>
      <x:c r="K102" s="26" t="n">
        <x:f>IF(H102="是",CEILING(I102/J102,1),0)</x:f>
        <x:v>0</x:v>
      </x:c>
      <x:c r="L102" s="26" t="n">
        <x:f>ROUND(I102*G102,0)</x:f>
        <x:v>108</x:v>
      </x:c>
      <x:c r="M102" s="26" t="n">
        <x:f>IF(H102="是",CEILING(L102/J102,1),0)</x:f>
        <x:v>0</x:v>
      </x:c>
      <x:c r="N102" s="26" t="n">
        <x:f>M102-K102</x:f>
        <x:v>0</x:v>
      </x:c>
      <x:c r="O102" s="24" t="str">
        <x:f>'500件商品'!Q102</x:f>
        <x:v>遠端區</x:v>
      </x:c>
      <x:c r="P102" s="26" t="n">
        <x:f>'500件商品'!R102</x:f>
        <x:v>72</x:v>
      </x:c>
      <x:c r="Q102" s="24" t="str">
        <x:f>IF(H102="否","非棧板管理",IF(AND(E102="是",N102&gt;0),"季節彈性前移區",IF(OR(C102="Cluster 3",D102&gt;=55),"近端低層棧板區",IF(C102="Cluster 2","中段大貨位",IF(C102="Cluster 4","遠端彈性儲位","中段棧板區")))))</x:f>
        <x:v>非棧板管理</x:v>
      </x:c>
      <x:c r="R102" s="24" t="str">
        <x:f>IF(AND(H102="是",E102="是",N102&gt;0),"是","否")</x:f>
        <x:v>否</x:v>
      </x:c>
      <x:c r="S102" s="24" t="str">
        <x:f>IF(H102="否","非本次棧板儲位分析對象",IF(R102="是","旺季前需前移並增加棧板位",IF(N102&gt;0,"需增加棧板位",IF(N102&lt;0,"可釋放部分棧板位","維持現況"))))</x:f>
        <x:v>非本次棧板儲位分析對象</x:v>
      </x:c>
    </x:row>
    <x:row r="103">
      <x:c r="A103" s="24" t="str">
        <x:f>'500件商品'!A103</x:f>
        <x:v>PX0099</x:v>
      </x:c>
      <x:c r="B103" s="24" t="str">
        <x:f>'500件商品'!B103</x:f>
        <x:v>防蚊用品-箱裝</x:v>
      </x:c>
      <x:c r="C103" s="24" t="str">
        <x:f>'500件商品'!D103</x:f>
        <x:v>Cluster 4</x:v>
      </x:c>
      <x:c r="D103" s="26" t="n">
        <x:f>'500件商品'!F103</x:f>
        <x:v>15</x:v>
      </x:c>
      <x:c r="E103" s="24" t="str">
        <x:f>'500件商品'!K103</x:f>
        <x:v>是</x:v>
      </x:c>
      <x:c r="F103" s="24" t="str">
        <x:f>'500件商品'!L103</x:f>
        <x:v>5-8月</x:v>
      </x:c>
      <x:c r="G103" s="28" t="n">
        <x:f>'500件商品'!M103</x:f>
        <x:v>2</x:v>
      </x:c>
      <x:c r="H103" s="24" t="str">
        <x:f>'500件商品'!P103</x:f>
        <x:v>否</x:v>
      </x:c>
      <x:c r="I103" s="26" t="n">
        <x:f>'500件商品'!N103</x:f>
        <x:v>90</x:v>
      </x:c>
      <x:c r="J103" s="26" t="str">
        <x:f>'500件商品'!O103</x:f>
      </x:c>
      <x:c r="K103" s="26" t="n">
        <x:f>IF(H103="是",CEILING(I103/J103,1),0)</x:f>
        <x:v>0</x:v>
      </x:c>
      <x:c r="L103" s="26" t="n">
        <x:f>ROUND(I103*G103,0)</x:f>
        <x:v>180</x:v>
      </x:c>
      <x:c r="M103" s="26" t="n">
        <x:f>IF(H103="是",CEILING(L103/J103,1),0)</x:f>
        <x:v>0</x:v>
      </x:c>
      <x:c r="N103" s="26" t="n">
        <x:f>M103-K103</x:f>
        <x:v>0</x:v>
      </x:c>
      <x:c r="O103" s="24" t="str">
        <x:f>'500件商品'!Q103</x:f>
        <x:v>彈性區</x:v>
      </x:c>
      <x:c r="P103" s="26" t="n">
        <x:f>'500件商品'!R103</x:f>
        <x:v>61</x:v>
      </x:c>
      <x:c r="Q103" s="24" t="str">
        <x:f>IF(H103="否","非棧板管理",IF(AND(E103="是",N103&gt;0),"季節彈性前移區",IF(OR(C103="Cluster 3",D103&gt;=55),"近端低層棧板區",IF(C103="Cluster 2","中段大貨位",IF(C103="Cluster 4","遠端彈性儲位","中段棧板區")))))</x:f>
        <x:v>非棧板管理</x:v>
      </x:c>
      <x:c r="R103" s="24" t="str">
        <x:f>IF(AND(H103="是",E103="是",N103&gt;0),"是","否")</x:f>
        <x:v>否</x:v>
      </x:c>
      <x:c r="S103" s="24" t="str">
        <x:f>IF(H103="否","非本次棧板儲位分析對象",IF(R103="是","旺季前需前移並增加棧板位",IF(N103&gt;0,"需增加棧板位",IF(N103&lt;0,"可釋放部分棧板位","維持現況"))))</x:f>
        <x:v>非本次棧板儲位分析對象</x:v>
      </x:c>
    </x:row>
    <x:row r="104">
      <x:c r="A104" s="24" t="str">
        <x:f>'500件商品'!A104</x:f>
        <x:v>PX0100</x:v>
      </x:c>
      <x:c r="B104" s="24" t="str">
        <x:f>'500件商品'!B104</x:f>
        <x:v>口罩盒-促銷組</x:v>
      </x:c>
      <x:c r="C104" s="24" t="str">
        <x:f>'500件商品'!D104</x:f>
        <x:v>Cluster 5</x:v>
      </x:c>
      <x:c r="D104" s="26" t="n">
        <x:f>'500件商品'!F104</x:f>
        <x:v>25</x:v>
      </x:c>
      <x:c r="E104" s="24" t="str">
        <x:f>'500件商品'!K104</x:f>
        <x:v>否</x:v>
      </x:c>
      <x:c r="F104" s="24" t="str">
        <x:f>'500件商品'!L104</x:f>
      </x:c>
      <x:c r="G104" s="28" t="n">
        <x:f>'500件商品'!M104</x:f>
        <x:v>1</x:v>
      </x:c>
      <x:c r="H104" s="24" t="str">
        <x:f>'500件商品'!P104</x:f>
        <x:v>否</x:v>
      </x:c>
      <x:c r="I104" s="26" t="n">
        <x:f>'500件商品'!N104</x:f>
        <x:v>131</x:v>
      </x:c>
      <x:c r="J104" s="26" t="str">
        <x:f>'500件商品'!O104</x:f>
      </x:c>
      <x:c r="K104" s="26" t="n">
        <x:f>IF(H104="是",CEILING(I104/J104,1),0)</x:f>
        <x:v>0</x:v>
      </x:c>
      <x:c r="L104" s="26" t="n">
        <x:f>ROUND(I104*G104,0)</x:f>
        <x:v>131</x:v>
      </x:c>
      <x:c r="M104" s="26" t="n">
        <x:f>IF(H104="是",CEILING(L104/J104,1),0)</x:f>
        <x:v>0</x:v>
      </x:c>
      <x:c r="N104" s="26" t="n">
        <x:f>M104-K104</x:f>
        <x:v>0</x:v>
      </x:c>
      <x:c r="O104" s="24" t="str">
        <x:f>'500件商品'!Q104</x:f>
        <x:v>A區</x:v>
      </x:c>
      <x:c r="P104" s="26" t="n">
        <x:f>'500件商品'!R104</x:f>
        <x:v>26</x:v>
      </x:c>
      <x:c r="Q104" s="24" t="str">
        <x:f>IF(H104="否","非棧板管理",IF(AND(E104="是",N104&gt;0),"季節彈性前移區",IF(OR(C104="Cluster 3",D104&gt;=55),"近端低層棧板區",IF(C104="Cluster 2","中段大貨位",IF(C104="Cluster 4","遠端彈性儲位","中段棧板區")))))</x:f>
        <x:v>非棧板管理</x:v>
      </x:c>
      <x:c r="R104" s="24" t="str">
        <x:f>IF(AND(H104="是",E104="是",N104&gt;0),"是","否")</x:f>
        <x:v>否</x:v>
      </x:c>
      <x:c r="S104" s="24" t="str">
        <x:f>IF(H104="否","非本次棧板儲位分析對象",IF(R104="是","旺季前需前移並增加棧板位",IF(N104&gt;0,"需增加棧板位",IF(N104&lt;0,"可釋放部分棧板位","維持現況"))))</x:f>
        <x:v>非本次棧板儲位分析對象</x:v>
      </x:c>
    </x:row>
    <x:row r="105">
      <x:c r="A105" s="24" t="str">
        <x:f>'500件商品'!A105</x:f>
        <x:v>PX0101</x:v>
      </x:c>
      <x:c r="B105" s="24" t="str">
        <x:f>'500件商品'!B105</x:f>
        <x:v>保鮮膜-標準箱</x:v>
      </x:c>
      <x:c r="C105" s="24" t="str">
        <x:f>'500件商品'!D105</x:f>
        <x:v>Cluster 5</x:v>
      </x:c>
      <x:c r="D105" s="26" t="n">
        <x:f>'500件商品'!F105</x:f>
        <x:v>28</x:v>
      </x:c>
      <x:c r="E105" s="24" t="str">
        <x:f>'500件商品'!K105</x:f>
        <x:v>否</x:v>
      </x:c>
      <x:c r="F105" s="24" t="str">
        <x:f>'500件商品'!L105</x:f>
      </x:c>
      <x:c r="G105" s="28" t="n">
        <x:f>'500件商品'!M105</x:f>
        <x:v>1</x:v>
      </x:c>
      <x:c r="H105" s="24" t="str">
        <x:f>'500件商品'!P105</x:f>
        <x:v>否</x:v>
      </x:c>
      <x:c r="I105" s="26" t="n">
        <x:f>'500件商品'!N105</x:f>
        <x:v>180</x:v>
      </x:c>
      <x:c r="J105" s="26" t="str">
        <x:f>'500件商品'!O105</x:f>
      </x:c>
      <x:c r="K105" s="26" t="n">
        <x:f>IF(H105="是",CEILING(I105/J105,1),0)</x:f>
        <x:v>0</x:v>
      </x:c>
      <x:c r="L105" s="26" t="n">
        <x:f>ROUND(I105*G105,0)</x:f>
        <x:v>180</x:v>
      </x:c>
      <x:c r="M105" s="26" t="n">
        <x:f>IF(H105="是",CEILING(L105/J105,1),0)</x:f>
        <x:v>0</x:v>
      </x:c>
      <x:c r="N105" s="26" t="n">
        <x:f>M105-K105</x:f>
        <x:v>0</x:v>
      </x:c>
      <x:c r="O105" s="24" t="str">
        <x:f>'500件商品'!Q105</x:f>
        <x:v>彈性區</x:v>
      </x:c>
      <x:c r="P105" s="26" t="n">
        <x:f>'500件商品'!R105</x:f>
        <x:v>47</x:v>
      </x:c>
      <x:c r="Q105" s="24" t="str">
        <x:f>IF(H105="否","非棧板管理",IF(AND(E105="是",N105&gt;0),"季節彈性前移區",IF(OR(C105="Cluster 3",D105&gt;=55),"近端低層棧板區",IF(C105="Cluster 2","中段大貨位",IF(C105="Cluster 4","遠端彈性儲位","中段棧板區")))))</x:f>
        <x:v>非棧板管理</x:v>
      </x:c>
      <x:c r="R105" s="24" t="str">
        <x:f>IF(AND(H105="是",E105="是",N105&gt;0),"是","否")</x:f>
        <x:v>否</x:v>
      </x:c>
      <x:c r="S105" s="24" t="str">
        <x:f>IF(H105="否","非本次棧板儲位分析對象",IF(R105="是","旺季前需前移並增加棧板位",IF(N105&gt;0,"需增加棧板位",IF(N105&lt;0,"可釋放部分棧板位","維持現況"))))</x:f>
        <x:v>非本次棧板儲位分析對象</x:v>
      </x:c>
    </x:row>
    <x:row r="106">
      <x:c r="A106" s="24" t="str">
        <x:f>'500件商品'!A106</x:f>
        <x:v>PX0102</x:v>
      </x:c>
      <x:c r="B106" s="24" t="str">
        <x:f>'500件商品'!B106</x:f>
        <x:v>浴廁清潔劑-促銷組</x:v>
      </x:c>
      <x:c r="C106" s="24" t="str">
        <x:f>'500件商品'!D106</x:f>
        <x:v>Cluster 3</x:v>
      </x:c>
      <x:c r="D106" s="26" t="n">
        <x:f>'500件商品'!F106</x:f>
        <x:v>57</x:v>
      </x:c>
      <x:c r="E106" s="24" t="str">
        <x:f>'500件商品'!K106</x:f>
        <x:v>否</x:v>
      </x:c>
      <x:c r="F106" s="24" t="str">
        <x:f>'500件商品'!L106</x:f>
      </x:c>
      <x:c r="G106" s="28" t="n">
        <x:f>'500件商品'!M106</x:f>
        <x:v>1</x:v>
      </x:c>
      <x:c r="H106" s="24" t="str">
        <x:f>'500件商品'!P106</x:f>
        <x:v>是</x:v>
      </x:c>
      <x:c r="I106" s="26" t="n">
        <x:f>'500件商品'!N106</x:f>
        <x:v>319</x:v>
      </x:c>
      <x:c r="J106" s="26" t="n">
        <x:f>'500件商品'!O106</x:f>
        <x:v>80</x:v>
      </x:c>
      <x:c r="K106" s="26" t="n">
        <x:f>IF(H106="是",CEILING(I106/J106,1),0)</x:f>
        <x:v>4</x:v>
      </x:c>
      <x:c r="L106" s="26" t="n">
        <x:f>ROUND(I106*G106,0)</x:f>
        <x:v>319</x:v>
      </x:c>
      <x:c r="M106" s="26" t="n">
        <x:f>IF(H106="是",CEILING(L106/J106,1),0)</x:f>
        <x:v>4</x:v>
      </x:c>
      <x:c r="N106" s="26" t="n">
        <x:f>M106-K106</x:f>
        <x:v>0</x:v>
      </x:c>
      <x:c r="O106" s="24" t="str">
        <x:f>'500件商品'!Q106</x:f>
        <x:v>K區</x:v>
      </x:c>
      <x:c r="P106" s="26" t="n">
        <x:f>'500件商品'!R106</x:f>
        <x:v>45</x:v>
      </x:c>
      <x:c r="Q106" s="24" t="str">
        <x:f>IF(H106="否","非棧板管理",IF(AND(E106="是",N106&gt;0),"季節彈性前移區",IF(OR(C106="Cluster 3",D106&gt;=55),"近端低層棧板區",IF(C106="Cluster 2","中段大貨位",IF(C106="Cluster 4","遠端彈性儲位","中段棧板區")))))</x:f>
        <x:v>近端低層棧板區</x:v>
      </x:c>
      <x:c r="R106" s="24" t="str">
        <x:f>IF(AND(H106="是",E106="是",N106&gt;0),"是","否")</x:f>
        <x:v>否</x:v>
      </x:c>
      <x:c r="S106" s="24" t="str">
        <x:f>IF(H106="否","非本次棧板儲位分析對象",IF(R106="是","旺季前需前移並增加棧板位",IF(N106&gt;0,"需增加棧板位",IF(N106&lt;0,"可釋放部分棧板位","維持現況"))))</x:f>
        <x:v>維持現況</x:v>
      </x:c>
    </x:row>
    <x:row r="107">
      <x:c r="A107" s="24" t="str">
        <x:f>'500件商品'!A107</x:f>
        <x:v>PX0103</x:v>
      </x:c>
      <x:c r="B107" s="24" t="str">
        <x:f>'500件商品'!B107</x:f>
        <x:v>尿布箱-促銷組</x:v>
      </x:c>
      <x:c r="C107" s="24" t="str">
        <x:f>'500件商品'!D107</x:f>
        <x:v>Cluster 2</x:v>
      </x:c>
      <x:c r="D107" s="26" t="n">
        <x:f>'500件商品'!F107</x:f>
        <x:v>33</x:v>
      </x:c>
      <x:c r="E107" s="24" t="str">
        <x:f>'500件商品'!K107</x:f>
        <x:v>否</x:v>
      </x:c>
      <x:c r="F107" s="24" t="str">
        <x:f>'500件商品'!L107</x:f>
      </x:c>
      <x:c r="G107" s="28" t="n">
        <x:f>'500件商品'!M107</x:f>
        <x:v>1</x:v>
      </x:c>
      <x:c r="H107" s="24" t="str">
        <x:f>'500件商品'!P107</x:f>
        <x:v>是</x:v>
      </x:c>
      <x:c r="I107" s="26" t="n">
        <x:f>'500件商品'!N107</x:f>
        <x:v>104</x:v>
      </x:c>
      <x:c r="J107" s="26" t="n">
        <x:f>'500件商品'!O107</x:f>
        <x:v>18</x:v>
      </x:c>
      <x:c r="K107" s="26" t="n">
        <x:f>IF(H107="是",CEILING(I107/J107,1),0)</x:f>
        <x:v>6</x:v>
      </x:c>
      <x:c r="L107" s="26" t="n">
        <x:f>ROUND(I107*G107,0)</x:f>
        <x:v>104</x:v>
      </x:c>
      <x:c r="M107" s="26" t="n">
        <x:f>IF(H107="是",CEILING(L107/J107,1),0)</x:f>
        <x:v>6</x:v>
      </x:c>
      <x:c r="N107" s="26" t="n">
        <x:f>M107-K107</x:f>
        <x:v>0</x:v>
      </x:c>
      <x:c r="O107" s="24" t="str">
        <x:f>'500件商品'!Q107</x:f>
        <x:v>3區</x:v>
      </x:c>
      <x:c r="P107" s="26" t="n">
        <x:f>'500件商品'!R107</x:f>
        <x:v>37</x:v>
      </x:c>
      <x:c r="Q107" s="24" t="str">
        <x:f>IF(H107="否","非棧板管理",IF(AND(E107="是",N107&gt;0),"季節彈性前移區",IF(OR(C107="Cluster 3",D107&gt;=55),"近端低層棧板區",IF(C107="Cluster 2","中段大貨位",IF(C107="Cluster 4","遠端彈性儲位","中段棧板區")))))</x:f>
        <x:v>中段大貨位</x:v>
      </x:c>
      <x:c r="R107" s="24" t="str">
        <x:f>IF(AND(H107="是",E107="是",N107&gt;0),"是","否")</x:f>
        <x:v>否</x:v>
      </x:c>
      <x:c r="S107" s="24" t="str">
        <x:f>IF(H107="否","非本次棧板儲位分析對象",IF(R107="是","旺季前需前移並增加棧板位",IF(N107&gt;0,"需增加棧板位",IF(N107&lt;0,"可釋放部分棧板位","維持現況"))))</x:f>
        <x:v>維持現況</x:v>
      </x:c>
    </x:row>
    <x:row r="108">
      <x:c r="A108" s="24" t="str">
        <x:f>'500件商品'!A108</x:f>
        <x:v>PX0104</x:v>
      </x:c>
      <x:c r="B108" s="24" t="str">
        <x:f>'500件商品'!B108</x:f>
        <x:v>咖啡罐裝整箱-箱裝</x:v>
      </x:c>
      <x:c r="C108" s="24" t="str">
        <x:f>'500件商品'!D108</x:f>
        <x:v>Cluster 1</x:v>
      </x:c>
      <x:c r="D108" s="26" t="n">
        <x:f>'500件商品'!F108</x:f>
        <x:v>26</x:v>
      </x:c>
      <x:c r="E108" s="24" t="str">
        <x:f>'500件商品'!K108</x:f>
        <x:v>否</x:v>
      </x:c>
      <x:c r="F108" s="24" t="str">
        <x:f>'500件商品'!L108</x:f>
      </x:c>
      <x:c r="G108" s="28" t="n">
        <x:f>'500件商品'!M108</x:f>
        <x:v>1</x:v>
      </x:c>
      <x:c r="H108" s="24" t="str">
        <x:f>'500件商品'!P108</x:f>
        <x:v>是</x:v>
      </x:c>
      <x:c r="I108" s="26" t="n">
        <x:f>'500件商品'!N108</x:f>
        <x:v>111</x:v>
      </x:c>
      <x:c r="J108" s="26" t="n">
        <x:f>'500件商品'!O108</x:f>
        <x:v>80</x:v>
      </x:c>
      <x:c r="K108" s="26" t="n">
        <x:f>IF(H108="是",CEILING(I108/J108,1),0)</x:f>
        <x:v>2</x:v>
      </x:c>
      <x:c r="L108" s="26" t="n">
        <x:f>ROUND(I108*G108,0)</x:f>
        <x:v>111</x:v>
      </x:c>
      <x:c r="M108" s="26" t="n">
        <x:f>IF(H108="是",CEILING(L108/J108,1),0)</x:f>
        <x:v>2</x:v>
      </x:c>
      <x:c r="N108" s="26" t="n">
        <x:f>M108-K108</x:f>
        <x:v>0</x:v>
      </x:c>
      <x:c r="O108" s="24" t="str">
        <x:f>'500件商品'!Q108</x:f>
        <x:v>遠端區</x:v>
      </x:c>
      <x:c r="P108" s="26" t="n">
        <x:f>'500件商品'!R108</x:f>
        <x:v>64</x:v>
      </x:c>
      <x:c r="Q108" s="24" t="str">
        <x:f>IF(H108="否","非棧板管理",IF(AND(E108="是",N108&gt;0),"季節彈性前移區",IF(OR(C108="Cluster 3",D108&gt;=55),"近端低層棧板區",IF(C108="Cluster 2","中段大貨位",IF(C108="Cluster 4","遠端彈性儲位","中段棧板區")))))</x:f>
        <x:v>中段棧板區</x:v>
      </x:c>
      <x:c r="R108" s="24" t="str">
        <x:f>IF(AND(H108="是",E108="是",N108&gt;0),"是","否")</x:f>
        <x:v>否</x:v>
      </x:c>
      <x:c r="S108" s="24" t="str">
        <x:f>IF(H108="否","非本次棧板儲位分析對象",IF(R108="是","旺季前需前移並增加棧板位",IF(N108&gt;0,"需增加棧板位",IF(N108&lt;0,"可釋放部分棧板位","維持現況"))))</x:f>
        <x:v>維持現況</x:v>
      </x:c>
    </x:row>
    <x:row r="109">
      <x:c r="A109" s="24" t="str">
        <x:f>'500件商品'!A109</x:f>
        <x:v>PX0105</x:v>
      </x:c>
      <x:c r="B109" s="24" t="str">
        <x:f>'500件商品'!B109</x:f>
        <x:v>蛋捲禮盒-補充包</x:v>
      </x:c>
      <x:c r="C109" s="24" t="str">
        <x:f>'500件商品'!D109</x:f>
        <x:v>Cluster 4</x:v>
      </x:c>
      <x:c r="D109" s="26" t="n">
        <x:f>'500件商品'!F109</x:f>
        <x:v>5</x:v>
      </x:c>
      <x:c r="E109" s="24" t="str">
        <x:f>'500件商品'!K109</x:f>
        <x:v>是</x:v>
      </x:c>
      <x:c r="F109" s="24" t="str">
        <x:f>'500件商品'!L109</x:f>
        <x:v>1-2月</x:v>
      </x:c>
      <x:c r="G109" s="28" t="n">
        <x:f>'500件商品'!M109</x:f>
        <x:v>1.8</x:v>
      </x:c>
      <x:c r="H109" s="24" t="str">
        <x:f>'500件商品'!P109</x:f>
        <x:v>是</x:v>
      </x:c>
      <x:c r="I109" s="26" t="n">
        <x:f>'500件商品'!N109</x:f>
        <x:v>99</x:v>
      </x:c>
      <x:c r="J109" s="26" t="n">
        <x:f>'500件商品'!O109</x:f>
        <x:v>24</x:v>
      </x:c>
      <x:c r="K109" s="26" t="n">
        <x:f>IF(H109="是",CEILING(I109/J109,1),0)</x:f>
        <x:v>5</x:v>
      </x:c>
      <x:c r="L109" s="26" t="n">
        <x:f>ROUND(I109*G109,0)</x:f>
        <x:v>178</x:v>
      </x:c>
      <x:c r="M109" s="26" t="n">
        <x:f>IF(H109="是",CEILING(L109/J109,1),0)</x:f>
        <x:v>8</x:v>
      </x:c>
      <x:c r="N109" s="26" t="n">
        <x:f>M109-K109</x:f>
        <x:v>3</x:v>
      </x:c>
      <x:c r="O109" s="24" t="str">
        <x:f>'500件商品'!Q109</x:f>
        <x:v>A區</x:v>
      </x:c>
      <x:c r="P109" s="26" t="n">
        <x:f>'500件商品'!R109</x:f>
        <x:v>35</x:v>
      </x:c>
      <x:c r="Q109" s="24" t="str">
        <x:f>IF(H109="否","非棧板管理",IF(AND(E109="是",N109&gt;0),"季節彈性前移區",IF(OR(C109="Cluster 3",D109&gt;=55),"近端低層棧板區",IF(C109="Cluster 2","中段大貨位",IF(C109="Cluster 4","遠端彈性儲位","中段棧板區")))))</x:f>
        <x:v>季節彈性前移區</x:v>
      </x:c>
      <x:c r="R109" s="24" t="str">
        <x:f>IF(AND(H109="是",E109="是",N109&gt;0),"是","否")</x:f>
        <x:v>是</x:v>
      </x:c>
      <x:c r="S109" s="24" t="str">
        <x:f>IF(H109="否","非本次棧板儲位分析對象",IF(R109="是","旺季前需前移並增加棧板位",IF(N109&gt;0,"需增加棧板位",IF(N109&lt;0,"可釋放部分棧板位","維持現況"))))</x:f>
        <x:v>旺季前需前移並增加棧板位</x:v>
      </x:c>
    </x:row>
    <x:row r="110">
      <x:c r="A110" s="24" t="str">
        <x:f>'500件商品'!A110</x:f>
        <x:v>PX0106</x:v>
      </x:c>
      <x:c r="B110" s="24" t="str">
        <x:f>'500件商品'!B110</x:f>
        <x:v>面紙箱-補充包</x:v>
      </x:c>
      <x:c r="C110" s="24" t="str">
        <x:f>'500件商品'!D110</x:f>
        <x:v>Cluster 5</x:v>
      </x:c>
      <x:c r="D110" s="26" t="n">
        <x:f>'500件商品'!F110</x:f>
        <x:v>31</x:v>
      </x:c>
      <x:c r="E110" s="24" t="str">
        <x:f>'500件商品'!K110</x:f>
        <x:v>否</x:v>
      </x:c>
      <x:c r="F110" s="24" t="str">
        <x:f>'500件商品'!L110</x:f>
      </x:c>
      <x:c r="G110" s="28" t="n">
        <x:f>'500件商品'!M110</x:f>
        <x:v>1</x:v>
      </x:c>
      <x:c r="H110" s="24" t="str">
        <x:f>'500件商品'!P110</x:f>
        <x:v>是</x:v>
      </x:c>
      <x:c r="I110" s="26" t="n">
        <x:f>'500件商品'!N110</x:f>
        <x:v>167</x:v>
      </x:c>
      <x:c r="J110" s="26" t="n">
        <x:f>'500件商品'!O110</x:f>
        <x:v>60</x:v>
      </x:c>
      <x:c r="K110" s="26" t="n">
        <x:f>IF(H110="是",CEILING(I110/J110,1),0)</x:f>
        <x:v>3</x:v>
      </x:c>
      <x:c r="L110" s="26" t="n">
        <x:f>ROUND(I110*G110,0)</x:f>
        <x:v>167</x:v>
      </x:c>
      <x:c r="M110" s="26" t="n">
        <x:f>IF(H110="是",CEILING(L110/J110,1),0)</x:f>
        <x:v>3</x:v>
      </x:c>
      <x:c r="N110" s="26" t="n">
        <x:f>M110-K110</x:f>
        <x:v>0</x:v>
      </x:c>
      <x:c r="O110" s="24" t="str">
        <x:f>'500件商品'!Q110</x:f>
        <x:v>A區</x:v>
      </x:c>
      <x:c r="P110" s="26" t="n">
        <x:f>'500件商品'!R110</x:f>
        <x:v>30</x:v>
      </x:c>
      <x:c r="Q110" s="24" t="str">
        <x:f>IF(H110="否","非棧板管理",IF(AND(E110="是",N110&gt;0),"季節彈性前移區",IF(OR(C110="Cluster 3",D110&gt;=55),"近端低層棧板區",IF(C110="Cluster 2","中段大貨位",IF(C110="Cluster 4","遠端彈性儲位","中段棧板區")))))</x:f>
        <x:v>中段棧板區</x:v>
      </x:c>
      <x:c r="R110" s="24" t="str">
        <x:f>IF(AND(H110="是",E110="是",N110&gt;0),"是","否")</x:f>
        <x:v>否</x:v>
      </x:c>
      <x:c r="S110" s="24" t="str">
        <x:f>IF(H110="否","非本次棧板儲位分析對象",IF(R110="是","旺季前需前移並增加棧板位",IF(N110&gt;0,"需增加棧板位",IF(N110&lt;0,"可釋放部分棧板位","維持現況"))))</x:f>
        <x:v>維持現況</x:v>
      </x:c>
    </x:row>
    <x:row r="111">
      <x:c r="A111" s="24" t="str">
        <x:f>'500件商品'!A111</x:f>
        <x:v>PX0107</x:v>
      </x:c>
      <x:c r="B111" s="24" t="str">
        <x:f>'500件商品'!B111</x:f>
        <x:v>罐頭食品-箱裝</x:v>
      </x:c>
      <x:c r="C111" s="24" t="str">
        <x:f>'500件商品'!D111</x:f>
        <x:v>Cluster 5</x:v>
      </x:c>
      <x:c r="D111" s="26" t="n">
        <x:f>'500件商品'!F111</x:f>
        <x:v>55</x:v>
      </x:c>
      <x:c r="E111" s="24" t="str">
        <x:f>'500件商品'!K111</x:f>
        <x:v>否</x:v>
      </x:c>
      <x:c r="F111" s="24" t="str">
        <x:f>'500件商品'!L111</x:f>
      </x:c>
      <x:c r="G111" s="28" t="n">
        <x:f>'500件商品'!M111</x:f>
        <x:v>1</x:v>
      </x:c>
      <x:c r="H111" s="24" t="str">
        <x:f>'500件商品'!P111</x:f>
        <x:v>是</x:v>
      </x:c>
      <x:c r="I111" s="26" t="n">
        <x:f>'500件商品'!N111</x:f>
        <x:v>191</x:v>
      </x:c>
      <x:c r="J111" s="26" t="n">
        <x:f>'500件商品'!O111</x:f>
        <x:v>72</x:v>
      </x:c>
      <x:c r="K111" s="26" t="n">
        <x:f>IF(H111="是",CEILING(I111/J111,1),0)</x:f>
        <x:v>3</x:v>
      </x:c>
      <x:c r="L111" s="26" t="n">
        <x:f>ROUND(I111*G111,0)</x:f>
        <x:v>191</x:v>
      </x:c>
      <x:c r="M111" s="26" t="n">
        <x:f>IF(H111="是",CEILING(L111/J111,1),0)</x:f>
        <x:v>3</x:v>
      </x:c>
      <x:c r="N111" s="26" t="n">
        <x:f>M111-K111</x:f>
        <x:v>0</x:v>
      </x:c>
      <x:c r="O111" s="24" t="str">
        <x:f>'500件商品'!Q111</x:f>
        <x:v>1區</x:v>
      </x:c>
      <x:c r="P111" s="26" t="n">
        <x:f>'500件商品'!R111</x:f>
        <x:v>32</x:v>
      </x:c>
      <x:c r="Q111" s="24" t="str">
        <x:f>IF(H111="否","非棧板管理",IF(AND(E111="是",N111&gt;0),"季節彈性前移區",IF(OR(C111="Cluster 3",D111&gt;=55),"近端低層棧板區",IF(C111="Cluster 2","中段大貨位",IF(C111="Cluster 4","遠端彈性儲位","中段棧板區")))))</x:f>
        <x:v>近端低層棧板區</x:v>
      </x:c>
      <x:c r="R111" s="24" t="str">
        <x:f>IF(AND(H111="是",E111="是",N111&gt;0),"是","否")</x:f>
        <x:v>否</x:v>
      </x:c>
      <x:c r="S111" s="24" t="str">
        <x:f>IF(H111="否","非本次棧板儲位分析對象",IF(R111="是","旺季前需前移並增加棧板位",IF(N111&gt;0,"需增加棧板位",IF(N111&lt;0,"可釋放部分棧板位","維持現況"))))</x:f>
        <x:v>維持現況</x:v>
      </x:c>
    </x:row>
    <x:row r="112">
      <x:c r="A112" s="24" t="str">
        <x:f>'500件商品'!A112</x:f>
        <x:v>PX0108</x:v>
      </x:c>
      <x:c r="B112" s="24" t="str">
        <x:f>'500件商品'!B112</x:f>
        <x:v>保鮮膜-箱裝</x:v>
      </x:c>
      <x:c r="C112" s="24" t="str">
        <x:f>'500件商品'!D112</x:f>
        <x:v>Cluster 5</x:v>
      </x:c>
      <x:c r="D112" s="26" t="n">
        <x:f>'500件商品'!F112</x:f>
        <x:v>19</x:v>
      </x:c>
      <x:c r="E112" s="24" t="str">
        <x:f>'500件商品'!K112</x:f>
        <x:v>否</x:v>
      </x:c>
      <x:c r="F112" s="24" t="str">
        <x:f>'500件商品'!L112</x:f>
      </x:c>
      <x:c r="G112" s="28" t="n">
        <x:f>'500件商品'!M112</x:f>
        <x:v>1</x:v>
      </x:c>
      <x:c r="H112" s="24" t="str">
        <x:f>'500件商品'!P112</x:f>
        <x:v>否</x:v>
      </x:c>
      <x:c r="I112" s="26" t="n">
        <x:f>'500件商品'!N112</x:f>
        <x:v>154</x:v>
      </x:c>
      <x:c r="J112" s="26" t="str">
        <x:f>'500件商品'!O112</x:f>
      </x:c>
      <x:c r="K112" s="26" t="n">
        <x:f>IF(H112="是",CEILING(I112/J112,1),0)</x:f>
        <x:v>0</x:v>
      </x:c>
      <x:c r="L112" s="26" t="n">
        <x:f>ROUND(I112*G112,0)</x:f>
        <x:v>154</x:v>
      </x:c>
      <x:c r="M112" s="26" t="n">
        <x:f>IF(H112="是",CEILING(L112/J112,1),0)</x:f>
        <x:v>0</x:v>
      </x:c>
      <x:c r="N112" s="26" t="n">
        <x:f>M112-K112</x:f>
        <x:v>0</x:v>
      </x:c>
      <x:c r="O112" s="24" t="str">
        <x:f>'500件商品'!Q112</x:f>
        <x:v>3區</x:v>
      </x:c>
      <x:c r="P112" s="26" t="n">
        <x:f>'500件商品'!R112</x:f>
        <x:v>37</x:v>
      </x:c>
      <x:c r="Q112" s="24" t="str">
        <x:f>IF(H112="否","非棧板管理",IF(AND(E112="是",N112&gt;0),"季節彈性前移區",IF(OR(C112="Cluster 3",D112&gt;=55),"近端低層棧板區",IF(C112="Cluster 2","中段大貨位",IF(C112="Cluster 4","遠端彈性儲位","中段棧板區")))))</x:f>
        <x:v>非棧板管理</x:v>
      </x:c>
      <x:c r="R112" s="24" t="str">
        <x:f>IF(AND(H112="是",E112="是",N112&gt;0),"是","否")</x:f>
        <x:v>否</x:v>
      </x:c>
      <x:c r="S112" s="24" t="str">
        <x:f>IF(H112="否","非本次棧板儲位分析對象",IF(R112="是","旺季前需前移並增加棧板位",IF(N112&gt;0,"需增加棧板位",IF(N112&lt;0,"可釋放部分棧板位","維持現況"))))</x:f>
        <x:v>非本次棧板儲位分析對象</x:v>
      </x:c>
    </x:row>
    <x:row r="113">
      <x:c r="A113" s="24" t="str">
        <x:f>'500件商品'!A113</x:f>
        <x:v>PX0109</x:v>
      </x:c>
      <x:c r="B113" s="24" t="str">
        <x:f>'500件商品'!B113</x:f>
        <x:v>泡麵箱-促銷組</x:v>
      </x:c>
      <x:c r="C113" s="24" t="str">
        <x:f>'500件商品'!D113</x:f>
        <x:v>Cluster 5</x:v>
      </x:c>
      <x:c r="D113" s="26" t="n">
        <x:f>'500件商品'!F113</x:f>
        <x:v>18</x:v>
      </x:c>
      <x:c r="E113" s="24" t="str">
        <x:f>'500件商品'!K113</x:f>
        <x:v>否</x:v>
      </x:c>
      <x:c r="F113" s="24" t="str">
        <x:f>'500件商品'!L113</x:f>
      </x:c>
      <x:c r="G113" s="28" t="n">
        <x:f>'500件商品'!M113</x:f>
        <x:v>1.1</x:v>
      </x:c>
      <x:c r="H113" s="24" t="str">
        <x:f>'500件商品'!P113</x:f>
        <x:v>否</x:v>
      </x:c>
      <x:c r="I113" s="26" t="n">
        <x:f>'500件商品'!N113</x:f>
        <x:v>144</x:v>
      </x:c>
      <x:c r="J113" s="26" t="str">
        <x:f>'500件商品'!O113</x:f>
      </x:c>
      <x:c r="K113" s="26" t="n">
        <x:f>IF(H113="是",CEILING(I113/J113,1),0)</x:f>
        <x:v>0</x:v>
      </x:c>
      <x:c r="L113" s="26" t="n">
        <x:f>ROUND(I113*G113,0)</x:f>
        <x:v>158</x:v>
      </x:c>
      <x:c r="M113" s="26" t="n">
        <x:f>IF(H113="是",CEILING(L113/J113,1),0)</x:f>
        <x:v>0</x:v>
      </x:c>
      <x:c r="N113" s="26" t="n">
        <x:f>M113-K113</x:f>
        <x:v>0</x:v>
      </x:c>
      <x:c r="O113" s="24" t="str">
        <x:f>'500件商品'!Q113</x:f>
        <x:v>3區</x:v>
      </x:c>
      <x:c r="P113" s="26" t="n">
        <x:f>'500件商品'!R113</x:f>
        <x:v>37</x:v>
      </x:c>
      <x:c r="Q113" s="24" t="str">
        <x:f>IF(H113="否","非棧板管理",IF(AND(E113="是",N113&gt;0),"季節彈性前移區",IF(OR(C113="Cluster 3",D113&gt;=55),"近端低層棧板區",IF(C113="Cluster 2","中段大貨位",IF(C113="Cluster 4","遠端彈性儲位","中段棧板區")))))</x:f>
        <x:v>非棧板管理</x:v>
      </x:c>
      <x:c r="R113" s="24" t="str">
        <x:f>IF(AND(H113="是",E113="是",N113&gt;0),"是","否")</x:f>
        <x:v>否</x:v>
      </x:c>
      <x:c r="S113" s="24" t="str">
        <x:f>IF(H113="否","非本次棧板儲位分析對象",IF(R113="是","旺季前需前移並增加棧板位",IF(N113&gt;0,"需增加棧板位",IF(N113&lt;0,"可釋放部分棧板位","維持現況"))))</x:f>
        <x:v>非本次棧板儲位分析對象</x:v>
      </x:c>
    </x:row>
    <x:row r="114">
      <x:c r="A114" s="24" t="str">
        <x:f>'500件商品'!A114</x:f>
        <x:v>PX0110</x:v>
      </x:c>
      <x:c r="B114" s="24" t="str">
        <x:f>'500件商品'!B114</x:f>
        <x:v>洗衣粉箱-標準箱</x:v>
      </x:c>
      <x:c r="C114" s="24" t="str">
        <x:f>'500件商品'!D114</x:f>
        <x:v>Cluster 1</x:v>
      </x:c>
      <x:c r="D114" s="26" t="n">
        <x:f>'500件商品'!F114</x:f>
        <x:v>10</x:v>
      </x:c>
      <x:c r="E114" s="24" t="str">
        <x:f>'500件商品'!K114</x:f>
        <x:v>否</x:v>
      </x:c>
      <x:c r="F114" s="24" t="str">
        <x:f>'500件商品'!L114</x:f>
      </x:c>
      <x:c r="G114" s="28" t="n">
        <x:f>'500件商品'!M114</x:f>
        <x:v>1.1</x:v>
      </x:c>
      <x:c r="H114" s="24" t="str">
        <x:f>'500件商品'!P114</x:f>
        <x:v>是</x:v>
      </x:c>
      <x:c r="I114" s="26" t="n">
        <x:f>'500件商品'!N114</x:f>
        <x:v>76</x:v>
      </x:c>
      <x:c r="J114" s="26" t="n">
        <x:f>'500件商品'!O114</x:f>
        <x:v>72</x:v>
      </x:c>
      <x:c r="K114" s="26" t="n">
        <x:f>IF(H114="是",CEILING(I114/J114,1),0)</x:f>
        <x:v>2</x:v>
      </x:c>
      <x:c r="L114" s="26" t="n">
        <x:f>ROUND(I114*G114,0)</x:f>
        <x:v>84</x:v>
      </x:c>
      <x:c r="M114" s="26" t="n">
        <x:f>IF(H114="是",CEILING(L114/J114,1),0)</x:f>
        <x:v>2</x:v>
      </x:c>
      <x:c r="N114" s="26" t="n">
        <x:f>M114-K114</x:f>
        <x:v>0</x:v>
      </x:c>
      <x:c r="O114" s="24" t="str">
        <x:f>'500件商品'!Q114</x:f>
        <x:v>1區</x:v>
      </x:c>
      <x:c r="P114" s="26" t="n">
        <x:f>'500件商品'!R114</x:f>
        <x:v>39</x:v>
      </x:c>
      <x:c r="Q114" s="24" t="str">
        <x:f>IF(H114="否","非棧板管理",IF(AND(E114="是",N114&gt;0),"季節彈性前移區",IF(OR(C114="Cluster 3",D114&gt;=55),"近端低層棧板區",IF(C114="Cluster 2","中段大貨位",IF(C114="Cluster 4","遠端彈性儲位","中段棧板區")))))</x:f>
        <x:v>中段棧板區</x:v>
      </x:c>
      <x:c r="R114" s="24" t="str">
        <x:f>IF(AND(H114="是",E114="是",N114&gt;0),"是","否")</x:f>
        <x:v>否</x:v>
      </x:c>
      <x:c r="S114" s="24" t="str">
        <x:f>IF(H114="否","非本次棧板儲位分析對象",IF(R114="是","旺季前需前移並增加棧板位",IF(N114&gt;0,"需增加棧板位",IF(N114&lt;0,"可釋放部分棧板位","維持現況"))))</x:f>
        <x:v>維持現況</x:v>
      </x:c>
    </x:row>
    <x:row r="115">
      <x:c r="A115" s="24" t="str">
        <x:f>'500件商品'!A115</x:f>
        <x:v>PX0111</x:v>
      </x:c>
      <x:c r="B115" s="24" t="str">
        <x:f>'500件商品'!B115</x:f>
        <x:v>束帶組-補充包</x:v>
      </x:c>
      <x:c r="C115" s="24" t="str">
        <x:f>'500件商品'!D115</x:f>
        <x:v>Cluster 5</x:v>
      </x:c>
      <x:c r="D115" s="26" t="n">
        <x:f>'500件商品'!F115</x:f>
        <x:v>72</x:v>
      </x:c>
      <x:c r="E115" s="24" t="str">
        <x:f>'500件商品'!K115</x:f>
        <x:v>否</x:v>
      </x:c>
      <x:c r="F115" s="24" t="str">
        <x:f>'500件商品'!L115</x:f>
      </x:c>
      <x:c r="G115" s="28" t="n">
        <x:f>'500件商品'!M115</x:f>
        <x:v>1.1</x:v>
      </x:c>
      <x:c r="H115" s="24" t="str">
        <x:f>'500件商品'!P115</x:f>
        <x:v>是</x:v>
      </x:c>
      <x:c r="I115" s="26" t="n">
        <x:f>'500件商品'!N115</x:f>
        <x:v>344</x:v>
      </x:c>
      <x:c r="J115" s="26" t="n">
        <x:f>'500件商品'!O115</x:f>
        <x:v>48</x:v>
      </x:c>
      <x:c r="K115" s="26" t="n">
        <x:f>IF(H115="是",CEILING(I115/J115,1),0)</x:f>
        <x:v>8</x:v>
      </x:c>
      <x:c r="L115" s="26" t="n">
        <x:f>ROUND(I115*G115,0)</x:f>
        <x:v>378</x:v>
      </x:c>
      <x:c r="M115" s="26" t="n">
        <x:f>IF(H115="是",CEILING(L115/J115,1),0)</x:f>
        <x:v>8</x:v>
      </x:c>
      <x:c r="N115" s="26" t="n">
        <x:f>M115-K115</x:f>
        <x:v>0</x:v>
      </x:c>
      <x:c r="O115" s="24" t="str">
        <x:f>'500件商品'!Q115</x:f>
        <x:v>彈性區</x:v>
      </x:c>
      <x:c r="P115" s="26" t="n">
        <x:f>'500件商品'!R115</x:f>
        <x:v>52</x:v>
      </x:c>
      <x:c r="Q115" s="24" t="str">
        <x:f>IF(H115="否","非棧板管理",IF(AND(E115="是",N115&gt;0),"季節彈性前移區",IF(OR(C115="Cluster 3",D115&gt;=55),"近端低層棧板區",IF(C115="Cluster 2","中段大貨位",IF(C115="Cluster 4","遠端彈性儲位","中段棧板區")))))</x:f>
        <x:v>近端低層棧板區</x:v>
      </x:c>
      <x:c r="R115" s="24" t="str">
        <x:f>IF(AND(H115="是",E115="是",N115&gt;0),"是","否")</x:f>
        <x:v>否</x:v>
      </x:c>
      <x:c r="S115" s="24" t="str">
        <x:f>IF(H115="否","非本次棧板儲位分析對象",IF(R115="是","旺季前需前移並增加棧板位",IF(N115&gt;0,"需增加棧板位",IF(N115&lt;0,"可釋放部分棧板位","維持現況"))))</x:f>
        <x:v>維持現況</x:v>
      </x:c>
    </x:row>
    <x:row r="116">
      <x:c r="A116" s="24" t="str">
        <x:f>'500件商品'!A116</x:f>
        <x:v>PX0112</x:v>
      </x:c>
      <x:c r="B116" s="24" t="str">
        <x:f>'500件商品'!B116</x:f>
        <x:v>擦手紙箱-補充包</x:v>
      </x:c>
      <x:c r="C116" s="24" t="str">
        <x:f>'500件商品'!D116</x:f>
        <x:v>Cluster 5</x:v>
      </x:c>
      <x:c r="D116" s="26" t="n">
        <x:f>'500件商品'!F116</x:f>
        <x:v>20</x:v>
      </x:c>
      <x:c r="E116" s="24" t="str">
        <x:f>'500件商品'!K116</x:f>
        <x:v>否</x:v>
      </x:c>
      <x:c r="F116" s="24" t="str">
        <x:f>'500件商品'!L116</x:f>
      </x:c>
      <x:c r="G116" s="28" t="n">
        <x:f>'500件商品'!M116</x:f>
        <x:v>1</x:v>
      </x:c>
      <x:c r="H116" s="24" t="str">
        <x:f>'500件商品'!P116</x:f>
        <x:v>否</x:v>
      </x:c>
      <x:c r="I116" s="26" t="n">
        <x:f>'500件商品'!N116</x:f>
        <x:v>141</x:v>
      </x:c>
      <x:c r="J116" s="26" t="str">
        <x:f>'500件商品'!O116</x:f>
      </x:c>
      <x:c r="K116" s="26" t="n">
        <x:f>IF(H116="是",CEILING(I116/J116,1),0)</x:f>
        <x:v>0</x:v>
      </x:c>
      <x:c r="L116" s="26" t="n">
        <x:f>ROUND(I116*G116,0)</x:f>
        <x:v>141</x:v>
      </x:c>
      <x:c r="M116" s="26" t="n">
        <x:f>IF(H116="是",CEILING(L116/J116,1),0)</x:f>
        <x:v>0</x:v>
      </x:c>
      <x:c r="N116" s="26" t="n">
        <x:f>M116-K116</x:f>
        <x:v>0</x:v>
      </x:c>
      <x:c r="O116" s="24" t="str">
        <x:f>'500件商品'!Q116</x:f>
        <x:v>遠端區</x:v>
      </x:c>
      <x:c r="P116" s="26" t="n">
        <x:f>'500件商品'!R116</x:f>
        <x:v>70</x:v>
      </x:c>
      <x:c r="Q116" s="24" t="str">
        <x:f>IF(H116="否","非棧板管理",IF(AND(E116="是",N116&gt;0),"季節彈性前移區",IF(OR(C116="Cluster 3",D116&gt;=55),"近端低層棧板區",IF(C116="Cluster 2","中段大貨位",IF(C116="Cluster 4","遠端彈性儲位","中段棧板區")))))</x:f>
        <x:v>非棧板管理</x:v>
      </x:c>
      <x:c r="R116" s="24" t="str">
        <x:f>IF(AND(H116="是",E116="是",N116&gt;0),"是","否")</x:f>
        <x:v>否</x:v>
      </x:c>
      <x:c r="S116" s="24" t="str">
        <x:f>IF(H116="否","非本次棧板儲位分析對象",IF(R116="是","旺季前需前移並增加棧板位",IF(N116&gt;0,"需增加棧板位",IF(N116&lt;0,"可釋放部分棧板位","維持現況"))))</x:f>
        <x:v>非本次棧板儲位分析對象</x:v>
      </x:c>
    </x:row>
    <x:row r="117">
      <x:c r="A117" s="24" t="str">
        <x:f>'500件商品'!A117</x:f>
        <x:v>PX0113</x:v>
      </x:c>
      <x:c r="B117" s="24" t="str">
        <x:f>'500件商品'!B117</x:f>
        <x:v>保鮮膜-補充包</x:v>
      </x:c>
      <x:c r="C117" s="24" t="str">
        <x:f>'500件商品'!D117</x:f>
        <x:v>Cluster 5</x:v>
      </x:c>
      <x:c r="D117" s="26" t="n">
        <x:f>'500件商品'!F117</x:f>
        <x:v>38</x:v>
      </x:c>
      <x:c r="E117" s="24" t="str">
        <x:f>'500件商品'!K117</x:f>
        <x:v>否</x:v>
      </x:c>
      <x:c r="F117" s="24" t="str">
        <x:f>'500件商品'!L117</x:f>
      </x:c>
      <x:c r="G117" s="28" t="n">
        <x:f>'500件商品'!M117</x:f>
        <x:v>1</x:v>
      </x:c>
      <x:c r="H117" s="24" t="str">
        <x:f>'500件商品'!P117</x:f>
        <x:v>是</x:v>
      </x:c>
      <x:c r="I117" s="26" t="n">
        <x:f>'500件商品'!N117</x:f>
        <x:v>139</x:v>
      </x:c>
      <x:c r="J117" s="26" t="n">
        <x:f>'500件商品'!O117</x:f>
        <x:v>48</x:v>
      </x:c>
      <x:c r="K117" s="26" t="n">
        <x:f>IF(H117="是",CEILING(I117/J117,1),0)</x:f>
        <x:v>3</x:v>
      </x:c>
      <x:c r="L117" s="26" t="n">
        <x:f>ROUND(I117*G117,0)</x:f>
        <x:v>139</x:v>
      </x:c>
      <x:c r="M117" s="26" t="n">
        <x:f>IF(H117="是",CEILING(L117/J117,1),0)</x:f>
        <x:v>3</x:v>
      </x:c>
      <x:c r="N117" s="26" t="n">
        <x:f>M117-K117</x:f>
        <x:v>0</x:v>
      </x:c>
      <x:c r="O117" s="24" t="str">
        <x:f>'500件商品'!Q117</x:f>
        <x:v>遠端區</x:v>
      </x:c>
      <x:c r="P117" s="26" t="n">
        <x:f>'500件商品'!R117</x:f>
        <x:v>63</x:v>
      </x:c>
      <x:c r="Q117" s="24" t="str">
        <x:f>IF(H117="否","非棧板管理",IF(AND(E117="是",N117&gt;0),"季節彈性前移區",IF(OR(C117="Cluster 3",D117&gt;=55),"近端低層棧板區",IF(C117="Cluster 2","中段大貨位",IF(C117="Cluster 4","遠端彈性儲位","中段棧板區")))))</x:f>
        <x:v>中段棧板區</x:v>
      </x:c>
      <x:c r="R117" s="24" t="str">
        <x:f>IF(AND(H117="是",E117="是",N117&gt;0),"是","否")</x:f>
        <x:v>否</x:v>
      </x:c>
      <x:c r="S117" s="24" t="str">
        <x:f>IF(H117="否","非本次棧板儲位分析對象",IF(R117="是","旺季前需前移並增加棧板位",IF(N117&gt;0,"需增加棧板位",IF(N117&lt;0,"可釋放部分棧板位","維持現況"))))</x:f>
        <x:v>維持現況</x:v>
      </x:c>
    </x:row>
    <x:row r="118">
      <x:c r="A118" s="24" t="str">
        <x:f>'500件商品'!A118</x:f>
        <x:v>PX0114</x:v>
      </x:c>
      <x:c r="B118" s="24" t="str">
        <x:f>'500件商品'!B118</x:f>
        <x:v>果汁飲料整箱-促銷組</x:v>
      </x:c>
      <x:c r="C118" s="24" t="str">
        <x:f>'500件商品'!D118</x:f>
        <x:v>Cluster 3</x:v>
      </x:c>
      <x:c r="D118" s="26" t="n">
        <x:f>'500件商品'!F118</x:f>
        <x:v>74</x:v>
      </x:c>
      <x:c r="E118" s="24" t="str">
        <x:f>'500件商品'!K118</x:f>
        <x:v>否</x:v>
      </x:c>
      <x:c r="F118" s="24" t="str">
        <x:f>'500件商品'!L118</x:f>
      </x:c>
      <x:c r="G118" s="28" t="n">
        <x:f>'500件商品'!M118</x:f>
        <x:v>1.2</x:v>
      </x:c>
      <x:c r="H118" s="24" t="str">
        <x:f>'500件商品'!P118</x:f>
        <x:v>是</x:v>
      </x:c>
      <x:c r="I118" s="26" t="n">
        <x:f>'500件商品'!N118</x:f>
        <x:v>440</x:v>
      </x:c>
      <x:c r="J118" s="26" t="n">
        <x:f>'500件商品'!O118</x:f>
        <x:v>36</x:v>
      </x:c>
      <x:c r="K118" s="26" t="n">
        <x:f>IF(H118="是",CEILING(I118/J118,1),0)</x:f>
        <x:v>13</x:v>
      </x:c>
      <x:c r="L118" s="26" t="n">
        <x:f>ROUND(I118*G118,0)</x:f>
        <x:v>528</x:v>
      </x:c>
      <x:c r="M118" s="26" t="n">
        <x:f>IF(H118="是",CEILING(L118/J118,1),0)</x:f>
        <x:v>15</x:v>
      </x:c>
      <x:c r="N118" s="26" t="n">
        <x:f>M118-K118</x:f>
        <x:v>2</x:v>
      </x:c>
      <x:c r="O118" s="24" t="str">
        <x:f>'500件商品'!Q118</x:f>
        <x:v>K區</x:v>
      </x:c>
      <x:c r="P118" s="26" t="n">
        <x:f>'500件商品'!R118</x:f>
        <x:v>49</x:v>
      </x:c>
      <x:c r="Q118" s="24" t="str">
        <x:f>IF(H118="否","非棧板管理",IF(AND(E118="是",N118&gt;0),"季節彈性前移區",IF(OR(C118="Cluster 3",D118&gt;=55),"近端低層棧板區",IF(C118="Cluster 2","中段大貨位",IF(C118="Cluster 4","遠端彈性儲位","中段棧板區")))))</x:f>
        <x:v>近端低層棧板區</x:v>
      </x:c>
      <x:c r="R118" s="24" t="str">
        <x:f>IF(AND(H118="是",E118="是",N118&gt;0),"是","否")</x:f>
        <x:v>否</x:v>
      </x:c>
      <x:c r="S118" s="24" t="str">
        <x:f>IF(H118="否","非本次棧板儲位分析對象",IF(R118="是","旺季前需前移並增加棧板位",IF(N118&gt;0,"需增加棧板位",IF(N118&lt;0,"可釋放部分棧板位","維持現況"))))</x:f>
        <x:v>需增加棧板位</x:v>
      </x:c>
    </x:row>
    <x:row r="119">
      <x:c r="A119" s="24" t="str">
        <x:f>'500件商品'!A119</x:f>
        <x:v>PX0115</x:v>
      </x:c>
      <x:c r="B119" s="24" t="str">
        <x:f>'500件商品'!B119</x:f>
        <x:v>備用耗材-家庭號</x:v>
      </x:c>
      <x:c r="C119" s="24" t="str">
        <x:f>'500件商品'!D119</x:f>
        <x:v>Cluster 5</x:v>
      </x:c>
      <x:c r="D119" s="26" t="n">
        <x:f>'500件商品'!F119</x:f>
        <x:v>5</x:v>
      </x:c>
      <x:c r="E119" s="24" t="str">
        <x:f>'500件商品'!K119</x:f>
        <x:v>否</x:v>
      </x:c>
      <x:c r="F119" s="24" t="str">
        <x:f>'500件商品'!L119</x:f>
      </x:c>
      <x:c r="G119" s="28" t="n">
        <x:f>'500件商品'!M119</x:f>
        <x:v>1</x:v>
      </x:c>
      <x:c r="H119" s="24" t="str">
        <x:f>'500件商品'!P119</x:f>
        <x:v>否</x:v>
      </x:c>
      <x:c r="I119" s="26" t="n">
        <x:f>'500件商品'!N119</x:f>
        <x:v>19</x:v>
      </x:c>
      <x:c r="J119" s="26" t="str">
        <x:f>'500件商品'!O119</x:f>
      </x:c>
      <x:c r="K119" s="26" t="n">
        <x:f>IF(H119="是",CEILING(I119/J119,1),0)</x:f>
        <x:v>0</x:v>
      </x:c>
      <x:c r="L119" s="26" t="n">
        <x:f>ROUND(I119*G119,0)</x:f>
        <x:v>19</x:v>
      </x:c>
      <x:c r="M119" s="26" t="n">
        <x:f>IF(H119="是",CEILING(L119/J119,1),0)</x:f>
        <x:v>0</x:v>
      </x:c>
      <x:c r="N119" s="26" t="n">
        <x:f>M119-K119</x:f>
        <x:v>0</x:v>
      </x:c>
      <x:c r="O119" s="24" t="str">
        <x:f>'500件商品'!Q119</x:f>
        <x:v>遠端區</x:v>
      </x:c>
      <x:c r="P119" s="26" t="n">
        <x:f>'500件商品'!R119</x:f>
        <x:v>72</x:v>
      </x:c>
      <x:c r="Q119" s="24" t="str">
        <x:f>IF(H119="否","非棧板管理",IF(AND(E119="是",N119&gt;0),"季節彈性前移區",IF(OR(C119="Cluster 3",D119&gt;=55),"近端低層棧板區",IF(C119="Cluster 2","中段大貨位",IF(C119="Cluster 4","遠端彈性儲位","中段棧板區")))))</x:f>
        <x:v>非棧板管理</x:v>
      </x:c>
      <x:c r="R119" s="24" t="str">
        <x:f>IF(AND(H119="是",E119="是",N119&gt;0),"是","否")</x:f>
        <x:v>否</x:v>
      </x:c>
      <x:c r="S119" s="24" t="str">
        <x:f>IF(H119="否","非本次棧板儲位分析對象",IF(R119="是","旺季前需前移並增加棧板位",IF(N119&gt;0,"需增加棧板位",IF(N119&lt;0,"可釋放部分棧板位","維持現況"))))</x:f>
        <x:v>非本次棧板儲位分析對象</x:v>
      </x:c>
    </x:row>
    <x:row r="120">
      <x:c r="A120" s="24" t="str">
        <x:f>'500件商品'!A120</x:f>
        <x:v>PX0116</x:v>
      </x:c>
      <x:c r="B120" s="24" t="str">
        <x:f>'500件商品'!B120</x:f>
        <x:v>寵物罐頭箱-標準箱</x:v>
      </x:c>
      <x:c r="C120" s="24" t="str">
        <x:f>'500件商品'!D120</x:f>
        <x:v>Cluster 5</x:v>
      </x:c>
      <x:c r="D120" s="26" t="n">
        <x:f>'500件商品'!F120</x:f>
        <x:v>14</x:v>
      </x:c>
      <x:c r="E120" s="24" t="str">
        <x:f>'500件商品'!K120</x:f>
        <x:v>否</x:v>
      </x:c>
      <x:c r="F120" s="24" t="str">
        <x:f>'500件商品'!L120</x:f>
      </x:c>
      <x:c r="G120" s="28" t="n">
        <x:f>'500件商品'!M120</x:f>
        <x:v>1</x:v>
      </x:c>
      <x:c r="H120" s="24" t="str">
        <x:f>'500件商品'!P120</x:f>
        <x:v>否</x:v>
      </x:c>
      <x:c r="I120" s="26" t="n">
        <x:f>'500件商品'!N120</x:f>
        <x:v>78</x:v>
      </x:c>
      <x:c r="J120" s="26" t="str">
        <x:f>'500件商品'!O120</x:f>
      </x:c>
      <x:c r="K120" s="26" t="n">
        <x:f>IF(H120="是",CEILING(I120/J120,1),0)</x:f>
        <x:v>0</x:v>
      </x:c>
      <x:c r="L120" s="26" t="n">
        <x:f>ROUND(I120*G120,0)</x:f>
        <x:v>78</x:v>
      </x:c>
      <x:c r="M120" s="26" t="n">
        <x:f>IF(H120="是",CEILING(L120/J120,1),0)</x:f>
        <x:v>0</x:v>
      </x:c>
      <x:c r="N120" s="26" t="n">
        <x:f>M120-K120</x:f>
        <x:v>0</x:v>
      </x:c>
      <x:c r="O120" s="24" t="str">
        <x:f>'500件商品'!Q120</x:f>
        <x:v>彈性區</x:v>
      </x:c>
      <x:c r="P120" s="26" t="n">
        <x:f>'500件商品'!R120</x:f>
        <x:v>60</x:v>
      </x:c>
      <x:c r="Q120" s="24" t="str">
        <x:f>IF(H120="否","非棧板管理",IF(AND(E120="是",N120&gt;0),"季節彈性前移區",IF(OR(C120="Cluster 3",D120&gt;=55),"近端低層棧板區",IF(C120="Cluster 2","中段大貨位",IF(C120="Cluster 4","遠端彈性儲位","中段棧板區")))))</x:f>
        <x:v>非棧板管理</x:v>
      </x:c>
      <x:c r="R120" s="24" t="str">
        <x:f>IF(AND(H120="是",E120="是",N120&gt;0),"是","否")</x:f>
        <x:v>否</x:v>
      </x:c>
      <x:c r="S120" s="24" t="str">
        <x:f>IF(H120="否","非本次棧板儲位分析對象",IF(R120="是","旺季前需前移並增加棧板位",IF(N120&gt;0,"需增加棧板位",IF(N120&lt;0,"可釋放部分棧板位","維持現況"))))</x:f>
        <x:v>非本次棧板儲位分析對象</x:v>
      </x:c>
    </x:row>
    <x:row r="121">
      <x:c r="A121" s="24" t="str">
        <x:f>'500件商品'!A121</x:f>
        <x:v>PX0117</x:v>
      </x:c>
      <x:c r="B121" s="24" t="str">
        <x:f>'500件商品'!B121</x:f>
        <x:v>洗衣粉箱-箱裝</x:v>
      </x:c>
      <x:c r="C121" s="24" t="str">
        <x:f>'500件商品'!D121</x:f>
        <x:v>Cluster 1</x:v>
      </x:c>
      <x:c r="D121" s="26" t="n">
        <x:f>'500件商品'!F121</x:f>
        <x:v>15</x:v>
      </x:c>
      <x:c r="E121" s="24" t="str">
        <x:f>'500件商品'!K121</x:f>
        <x:v>否</x:v>
      </x:c>
      <x:c r="F121" s="24" t="str">
        <x:f>'500件商品'!L121</x:f>
      </x:c>
      <x:c r="G121" s="28" t="n">
        <x:f>'500件商品'!M121</x:f>
        <x:v>1</x:v>
      </x:c>
      <x:c r="H121" s="24" t="str">
        <x:f>'500件商品'!P121</x:f>
        <x:v>是</x:v>
      </x:c>
      <x:c r="I121" s="26" t="n">
        <x:f>'500件商品'!N121</x:f>
        <x:v>63</x:v>
      </x:c>
      <x:c r="J121" s="26" t="n">
        <x:f>'500件商品'!O121</x:f>
        <x:v>48</x:v>
      </x:c>
      <x:c r="K121" s="26" t="n">
        <x:f>IF(H121="是",CEILING(I121/J121,1),0)</x:f>
        <x:v>2</x:v>
      </x:c>
      <x:c r="L121" s="26" t="n">
        <x:f>ROUND(I121*G121,0)</x:f>
        <x:v>63</x:v>
      </x:c>
      <x:c r="M121" s="26" t="n">
        <x:f>IF(H121="是",CEILING(L121/J121,1),0)</x:f>
        <x:v>2</x:v>
      </x:c>
      <x:c r="N121" s="26" t="n">
        <x:f>M121-K121</x:f>
        <x:v>0</x:v>
      </x:c>
      <x:c r="O121" s="24" t="str">
        <x:f>'500件商品'!Q121</x:f>
        <x:v>3區</x:v>
      </x:c>
      <x:c r="P121" s="26" t="n">
        <x:f>'500件商品'!R121</x:f>
        <x:v>46</x:v>
      </x:c>
      <x:c r="Q121" s="24" t="str">
        <x:f>IF(H121="否","非棧板管理",IF(AND(E121="是",N121&gt;0),"季節彈性前移區",IF(OR(C121="Cluster 3",D121&gt;=55),"近端低層棧板區",IF(C121="Cluster 2","中段大貨位",IF(C121="Cluster 4","遠端彈性儲位","中段棧板區")))))</x:f>
        <x:v>中段棧板區</x:v>
      </x:c>
      <x:c r="R121" s="24" t="str">
        <x:f>IF(AND(H121="是",E121="是",N121&gt;0),"是","否")</x:f>
        <x:v>否</x:v>
      </x:c>
      <x:c r="S121" s="24" t="str">
        <x:f>IF(H121="否","非本次棧板儲位分析對象",IF(R121="是","旺季前需前移並增加棧板位",IF(N121&gt;0,"需增加棧板位",IF(N121&lt;0,"可釋放部分棧板位","維持現況"))))</x:f>
        <x:v>維持現況</x:v>
      </x:c>
    </x:row>
    <x:row r="122">
      <x:c r="A122" s="24" t="str">
        <x:f>'500件商品'!A122</x:f>
        <x:v>PX0118</x:v>
      </x:c>
      <x:c r="B122" s="24" t="str">
        <x:f>'500件商品'!B122</x:f>
        <x:v>衛生棉組-家庭號</x:v>
      </x:c>
      <x:c r="C122" s="24" t="str">
        <x:f>'500件商品'!D122</x:f>
        <x:v>Cluster 5</x:v>
      </x:c>
      <x:c r="D122" s="26" t="n">
        <x:f>'500件商品'!F122</x:f>
        <x:v>32</x:v>
      </x:c>
      <x:c r="E122" s="24" t="str">
        <x:f>'500件商品'!K122</x:f>
        <x:v>否</x:v>
      </x:c>
      <x:c r="F122" s="24" t="str">
        <x:f>'500件商品'!L122</x:f>
      </x:c>
      <x:c r="G122" s="28" t="n">
        <x:f>'500件商品'!M122</x:f>
        <x:v>1.1</x:v>
      </x:c>
      <x:c r="H122" s="24" t="str">
        <x:f>'500件商品'!P122</x:f>
        <x:v>否</x:v>
      </x:c>
      <x:c r="I122" s="26" t="n">
        <x:f>'500件商品'!N122</x:f>
        <x:v>118</x:v>
      </x:c>
      <x:c r="J122" s="26" t="str">
        <x:f>'500件商品'!O122</x:f>
      </x:c>
      <x:c r="K122" s="26" t="n">
        <x:f>IF(H122="是",CEILING(I122/J122,1),0)</x:f>
        <x:v>0</x:v>
      </x:c>
      <x:c r="L122" s="26" t="n">
        <x:f>ROUND(I122*G122,0)</x:f>
        <x:v>130</x:v>
      </x:c>
      <x:c r="M122" s="26" t="n">
        <x:f>IF(H122="是",CEILING(L122/J122,1),0)</x:f>
        <x:v>0</x:v>
      </x:c>
      <x:c r="N122" s="26" t="n">
        <x:f>M122-K122</x:f>
        <x:v>0</x:v>
      </x:c>
      <x:c r="O122" s="24" t="str">
        <x:f>'500件商品'!Q122</x:f>
        <x:v>彈性區</x:v>
      </x:c>
      <x:c r="P122" s="26" t="n">
        <x:f>'500件商品'!R122</x:f>
        <x:v>46</x:v>
      </x:c>
      <x:c r="Q122" s="24" t="str">
        <x:f>IF(H122="否","非棧板管理",IF(AND(E122="是",N122&gt;0),"季節彈性前移區",IF(OR(C122="Cluster 3",D122&gt;=55),"近端低層棧板區",IF(C122="Cluster 2","中段大貨位",IF(C122="Cluster 4","遠端彈性儲位","中段棧板區")))))</x:f>
        <x:v>非棧板管理</x:v>
      </x:c>
      <x:c r="R122" s="24" t="str">
        <x:f>IF(AND(H122="是",E122="是",N122&gt;0),"是","否")</x:f>
        <x:v>否</x:v>
      </x:c>
      <x:c r="S122" s="24" t="str">
        <x:f>IF(H122="否","非本次棧板儲位分析對象",IF(R122="是","旺季前需前移並增加棧板位",IF(N122&gt;0,"需增加棧板位",IF(N122&lt;0,"可釋放部分棧板位","維持現況"))))</x:f>
        <x:v>非本次棧板儲位分析對象</x:v>
      </x:c>
    </x:row>
    <x:row r="123">
      <x:c r="A123" s="24" t="str">
        <x:f>'500件商品'!A123</x:f>
        <x:v>PX0119</x:v>
      </x:c>
      <x:c r="B123" s="24" t="str">
        <x:f>'500件商品'!B123</x:f>
        <x:v>雨衣組-小包裝</x:v>
      </x:c>
      <x:c r="C123" s="24" t="str">
        <x:f>'500件商品'!D123</x:f>
        <x:v>Cluster 4</x:v>
      </x:c>
      <x:c r="D123" s="26" t="n">
        <x:f>'500件商品'!F123</x:f>
        <x:v>8</x:v>
      </x:c>
      <x:c r="E123" s="24" t="str">
        <x:f>'500件商品'!K123</x:f>
        <x:v>是</x:v>
      </x:c>
      <x:c r="F123" s="24" t="str">
        <x:f>'500件商品'!L123</x:f>
        <x:v>5-8月</x:v>
      </x:c>
      <x:c r="G123" s="28" t="n">
        <x:f>'500件商品'!M123</x:f>
        <x:v>1.8</x:v>
      </x:c>
      <x:c r="H123" s="24" t="str">
        <x:f>'500件商品'!P123</x:f>
        <x:v>是</x:v>
      </x:c>
      <x:c r="I123" s="26" t="n">
        <x:f>'500件商品'!N123</x:f>
        <x:v>186</x:v>
      </x:c>
      <x:c r="J123" s="26" t="n">
        <x:f>'500件商品'!O123</x:f>
        <x:v>36</x:v>
      </x:c>
      <x:c r="K123" s="26" t="n">
        <x:f>IF(H123="是",CEILING(I123/J123,1),0)</x:f>
        <x:v>6</x:v>
      </x:c>
      <x:c r="L123" s="26" t="n">
        <x:f>ROUND(I123*G123,0)</x:f>
        <x:v>335</x:v>
      </x:c>
      <x:c r="M123" s="26" t="n">
        <x:f>IF(H123="是",CEILING(L123/J123,1),0)</x:f>
        <x:v>10</x:v>
      </x:c>
      <x:c r="N123" s="26" t="n">
        <x:f>M123-K123</x:f>
        <x:v>4</x:v>
      </x:c>
      <x:c r="O123" s="24" t="str">
        <x:f>'500件商品'!Q123</x:f>
        <x:v>K區</x:v>
      </x:c>
      <x:c r="P123" s="26" t="n">
        <x:f>'500件商品'!R123</x:f>
        <x:v>56</x:v>
      </x:c>
      <x:c r="Q123" s="24" t="str">
        <x:f>IF(H123="否","非棧板管理",IF(AND(E123="是",N123&gt;0),"季節彈性前移區",IF(OR(C123="Cluster 3",D123&gt;=55),"近端低層棧板區",IF(C123="Cluster 2","中段大貨位",IF(C123="Cluster 4","遠端彈性儲位","中段棧板區")))))</x:f>
        <x:v>季節彈性前移區</x:v>
      </x:c>
      <x:c r="R123" s="24" t="str">
        <x:f>IF(AND(H123="是",E123="是",N123&gt;0),"是","否")</x:f>
        <x:v>是</x:v>
      </x:c>
      <x:c r="S123" s="24" t="str">
        <x:f>IF(H123="否","非本次棧板儲位分析對象",IF(R123="是","旺季前需前移並增加棧板位",IF(N123&gt;0,"需增加棧板位",IF(N123&lt;0,"可釋放部分棧板位","維持現況"))))</x:f>
        <x:v>旺季前需前移並增加棧板位</x:v>
      </x:c>
    </x:row>
    <x:row r="124">
      <x:c r="A124" s="24" t="str">
        <x:f>'500件商品'!A124</x:f>
        <x:v>PX0120</x:v>
      </x:c>
      <x:c r="B124" s="24" t="str">
        <x:f>'500件商品'!B124</x:f>
        <x:v>備用耗材-箱裝</x:v>
      </x:c>
      <x:c r="C124" s="24" t="str">
        <x:f>'500件商品'!D124</x:f>
        <x:v>Cluster 1</x:v>
      </x:c>
      <x:c r="D124" s="26" t="n">
        <x:f>'500件商品'!F124</x:f>
        <x:v>8</x:v>
      </x:c>
      <x:c r="E124" s="24" t="str">
        <x:f>'500件商品'!K124</x:f>
        <x:v>否</x:v>
      </x:c>
      <x:c r="F124" s="24" t="str">
        <x:f>'500件商品'!L124</x:f>
      </x:c>
      <x:c r="G124" s="28" t="n">
        <x:f>'500件商品'!M124</x:f>
        <x:v>1.1</x:v>
      </x:c>
      <x:c r="H124" s="24" t="str">
        <x:f>'500件商品'!P124</x:f>
        <x:v>否</x:v>
      </x:c>
      <x:c r="I124" s="26" t="n">
        <x:f>'500件商品'!N124</x:f>
        <x:v>41</x:v>
      </x:c>
      <x:c r="J124" s="26" t="str">
        <x:f>'500件商品'!O124</x:f>
      </x:c>
      <x:c r="K124" s="26" t="n">
        <x:f>IF(H124="是",CEILING(I124/J124,1),0)</x:f>
        <x:v>0</x:v>
      </x:c>
      <x:c r="L124" s="26" t="n">
        <x:f>ROUND(I124*G124,0)</x:f>
        <x:v>45</x:v>
      </x:c>
      <x:c r="M124" s="26" t="n">
        <x:f>IF(H124="是",CEILING(L124/J124,1),0)</x:f>
        <x:v>0</x:v>
      </x:c>
      <x:c r="N124" s="26" t="n">
        <x:f>M124-K124</x:f>
        <x:v>0</x:v>
      </x:c>
      <x:c r="O124" s="24" t="str">
        <x:f>'500件商品'!Q124</x:f>
        <x:v>3區</x:v>
      </x:c>
      <x:c r="P124" s="26" t="n">
        <x:f>'500件商品'!R124</x:f>
        <x:v>42</x:v>
      </x:c>
      <x:c r="Q124" s="24" t="str">
        <x:f>IF(H124="否","非棧板管理",IF(AND(E124="是",N124&gt;0),"季節彈性前移區",IF(OR(C124="Cluster 3",D124&gt;=55),"近端低層棧板區",IF(C124="Cluster 2","中段大貨位",IF(C124="Cluster 4","遠端彈性儲位","中段棧板區")))))</x:f>
        <x:v>非棧板管理</x:v>
      </x:c>
      <x:c r="R124" s="24" t="str">
        <x:f>IF(AND(H124="是",E124="是",N124&gt;0),"是","否")</x:f>
        <x:v>否</x:v>
      </x:c>
      <x:c r="S124" s="24" t="str">
        <x:f>IF(H124="否","非本次棧板儲位分析對象",IF(R124="是","旺季前需前移並增加棧板位",IF(N124&gt;0,"需增加棧板位",IF(N124&lt;0,"可釋放部分棧板位","維持現況"))))</x:f>
        <x:v>非本次棧板儲位分析對象</x:v>
      </x:c>
    </x:row>
    <x:row r="125">
      <x:c r="A125" s="24" t="str">
        <x:f>'500件商品'!A125</x:f>
        <x:v>PX0121</x:v>
      </x:c>
      <x:c r="B125" s="24" t="str">
        <x:f>'500件商品'!B125</x:f>
        <x:v>寵物罐頭箱-補充包</x:v>
      </x:c>
      <x:c r="C125" s="24" t="str">
        <x:f>'500件商品'!D125</x:f>
        <x:v>Cluster 5</x:v>
      </x:c>
      <x:c r="D125" s="26" t="n">
        <x:f>'500件商品'!F125</x:f>
        <x:v>22</x:v>
      </x:c>
      <x:c r="E125" s="24" t="str">
        <x:f>'500件商品'!K125</x:f>
        <x:v>否</x:v>
      </x:c>
      <x:c r="F125" s="24" t="str">
        <x:f>'500件商品'!L125</x:f>
      </x:c>
      <x:c r="G125" s="28" t="n">
        <x:f>'500件商品'!M125</x:f>
        <x:v>1.1</x:v>
      </x:c>
      <x:c r="H125" s="24" t="str">
        <x:f>'500件商品'!P125</x:f>
        <x:v>否</x:v>
      </x:c>
      <x:c r="I125" s="26" t="n">
        <x:f>'500件商品'!N125</x:f>
        <x:v>153</x:v>
      </x:c>
      <x:c r="J125" s="26" t="str">
        <x:f>'500件商品'!O125</x:f>
      </x:c>
      <x:c r="K125" s="26" t="n">
        <x:f>IF(H125="是",CEILING(I125/J125,1),0)</x:f>
        <x:v>0</x:v>
      </x:c>
      <x:c r="L125" s="26" t="n">
        <x:f>ROUND(I125*G125,0)</x:f>
        <x:v>168</x:v>
      </x:c>
      <x:c r="M125" s="26" t="n">
        <x:f>IF(H125="是",CEILING(L125/J125,1),0)</x:f>
        <x:v>0</x:v>
      </x:c>
      <x:c r="N125" s="26" t="n">
        <x:f>M125-K125</x:f>
        <x:v>0</x:v>
      </x:c>
      <x:c r="O125" s="24" t="str">
        <x:f>'500件商品'!Q125</x:f>
        <x:v>3區</x:v>
      </x:c>
      <x:c r="P125" s="26" t="n">
        <x:f>'500件商品'!R125</x:f>
        <x:v>32</x:v>
      </x:c>
      <x:c r="Q125" s="24" t="str">
        <x:f>IF(H125="否","非棧板管理",IF(AND(E125="是",N125&gt;0),"季節彈性前移區",IF(OR(C125="Cluster 3",D125&gt;=55),"近端低層棧板區",IF(C125="Cluster 2","中段大貨位",IF(C125="Cluster 4","遠端彈性儲位","中段棧板區")))))</x:f>
        <x:v>非棧板管理</x:v>
      </x:c>
      <x:c r="R125" s="24" t="str">
        <x:f>IF(AND(H125="是",E125="是",N125&gt;0),"是","否")</x:f>
        <x:v>否</x:v>
      </x:c>
      <x:c r="S125" s="24" t="str">
        <x:f>IF(H125="否","非本次棧板儲位分析對象",IF(R125="是","旺季前需前移並增加棧板位",IF(N125&gt;0,"需增加棧板位",IF(N125&lt;0,"可釋放部分棧板位","維持現況"))))</x:f>
        <x:v>非本次棧板儲位分析對象</x:v>
      </x:c>
    </x:row>
    <x:row r="126">
      <x:c r="A126" s="24" t="str">
        <x:f>'500件商品'!A126</x:f>
        <x:v>PX0122</x:v>
      </x:c>
      <x:c r="B126" s="24" t="str">
        <x:f>'500件商品'!B126</x:f>
        <x:v>運動飲料整箱-家庭號</x:v>
      </x:c>
      <x:c r="C126" s="24" t="str">
        <x:f>'500件商品'!D126</x:f>
        <x:v>Cluster 2</x:v>
      </x:c>
      <x:c r="D126" s="26" t="n">
        <x:f>'500件商品'!F126</x:f>
        <x:v>48</x:v>
      </x:c>
      <x:c r="E126" s="24" t="str">
        <x:f>'500件商品'!K126</x:f>
        <x:v>否</x:v>
      </x:c>
      <x:c r="F126" s="24" t="str">
        <x:f>'500件商品'!L126</x:f>
      </x:c>
      <x:c r="G126" s="28" t="n">
        <x:f>'500件商品'!M126</x:f>
        <x:v>1.5</x:v>
      </x:c>
      <x:c r="H126" s="24" t="str">
        <x:f>'500件商品'!P126</x:f>
        <x:v>是</x:v>
      </x:c>
      <x:c r="I126" s="26" t="n">
        <x:f>'500件商品'!N126</x:f>
        <x:v>740</x:v>
      </x:c>
      <x:c r="J126" s="26" t="n">
        <x:f>'500件商品'!O126</x:f>
        <x:v>40</x:v>
      </x:c>
      <x:c r="K126" s="26" t="n">
        <x:f>IF(H126="是",CEILING(I126/J126,1),0)</x:f>
        <x:v>19</x:v>
      </x:c>
      <x:c r="L126" s="26" t="n">
        <x:f>ROUND(I126*G126,0)</x:f>
        <x:v>1110</x:v>
      </x:c>
      <x:c r="M126" s="26" t="n">
        <x:f>IF(H126="是",CEILING(L126/J126,1),0)</x:f>
        <x:v>28</x:v>
      </x:c>
      <x:c r="N126" s="26" t="n">
        <x:f>M126-K126</x:f>
        <x:v>9</x:v>
      </x:c>
      <x:c r="O126" s="24" t="str">
        <x:f>'500件商品'!Q126</x:f>
        <x:v>3區</x:v>
      </x:c>
      <x:c r="P126" s="26" t="n">
        <x:f>'500件商品'!R126</x:f>
        <x:v>43</x:v>
      </x:c>
      <x:c r="Q126" s="24" t="str">
        <x:f>IF(H126="否","非棧板管理",IF(AND(E126="是",N126&gt;0),"季節彈性前移區",IF(OR(C126="Cluster 3",D126&gt;=55),"近端低層棧板區",IF(C126="Cluster 2","中段大貨位",IF(C126="Cluster 4","遠端彈性儲位","中段棧板區")))))</x:f>
        <x:v>中段大貨位</x:v>
      </x:c>
      <x:c r="R126" s="24" t="str">
        <x:f>IF(AND(H126="是",E126="是",N126&gt;0),"是","否")</x:f>
        <x:v>否</x:v>
      </x:c>
      <x:c r="S126" s="24" t="str">
        <x:f>IF(H126="否","非本次棧板儲位分析對象",IF(R126="是","旺季前需前移並增加棧板位",IF(N126&gt;0,"需增加棧板位",IF(N126&lt;0,"可釋放部分棧板位","維持現況"))))</x:f>
        <x:v>需增加棧板位</x:v>
      </x:c>
    </x:row>
    <x:row r="127">
      <x:c r="A127" s="24" t="str">
        <x:f>'500件商品'!A127</x:f>
        <x:v>PX0123</x:v>
      </x:c>
      <x:c r="B127" s="24" t="str">
        <x:f>'500件商品'!B127</x:f>
        <x:v>玻璃保鮮盒-小包裝</x:v>
      </x:c>
      <x:c r="C127" s="24" t="str">
        <x:f>'500件商品'!D127</x:f>
        <x:v>Cluster 1</x:v>
      </x:c>
      <x:c r="D127" s="26" t="n">
        <x:f>'500件商品'!F127</x:f>
        <x:v>9</x:v>
      </x:c>
      <x:c r="E127" s="24" t="str">
        <x:f>'500件商品'!K127</x:f>
        <x:v>否</x:v>
      </x:c>
      <x:c r="F127" s="24" t="str">
        <x:f>'500件商品'!L127</x:f>
      </x:c>
      <x:c r="G127" s="28" t="n">
        <x:f>'500件商品'!M127</x:f>
        <x:v>1</x:v>
      </x:c>
      <x:c r="H127" s="24" t="str">
        <x:f>'500件商品'!P127</x:f>
        <x:v>否</x:v>
      </x:c>
      <x:c r="I127" s="26" t="n">
        <x:f>'500件商品'!N127</x:f>
        <x:v>54</x:v>
      </x:c>
      <x:c r="J127" s="26" t="str">
        <x:f>'500件商品'!O127</x:f>
      </x:c>
      <x:c r="K127" s="26" t="n">
        <x:f>IF(H127="是",CEILING(I127/J127,1),0)</x:f>
        <x:v>0</x:v>
      </x:c>
      <x:c r="L127" s="26" t="n">
        <x:f>ROUND(I127*G127,0)</x:f>
        <x:v>54</x:v>
      </x:c>
      <x:c r="M127" s="26" t="n">
        <x:f>IF(H127="是",CEILING(L127/J127,1),0)</x:f>
        <x:v>0</x:v>
      </x:c>
      <x:c r="N127" s="26" t="n">
        <x:f>M127-K127</x:f>
        <x:v>0</x:v>
      </x:c>
      <x:c r="O127" s="24" t="str">
        <x:f>'500件商品'!Q127</x:f>
        <x:v>K區</x:v>
      </x:c>
      <x:c r="P127" s="26" t="n">
        <x:f>'500件商品'!R127</x:f>
        <x:v>53</x:v>
      </x:c>
      <x:c r="Q127" s="24" t="str">
        <x:f>IF(H127="否","非棧板管理",IF(AND(E127="是",N127&gt;0),"季節彈性前移區",IF(OR(C127="Cluster 3",D127&gt;=55),"近端低層棧板區",IF(C127="Cluster 2","中段大貨位",IF(C127="Cluster 4","遠端彈性儲位","中段棧板區")))))</x:f>
        <x:v>非棧板管理</x:v>
      </x:c>
      <x:c r="R127" s="24" t="str">
        <x:f>IF(AND(H127="是",E127="是",N127&gt;0),"是","否")</x:f>
        <x:v>否</x:v>
      </x:c>
      <x:c r="S127" s="24" t="str">
        <x:f>IF(H127="否","非本次棧板儲位分析對象",IF(R127="是","旺季前需前移並增加棧板位",IF(N127&gt;0,"需增加棧板位",IF(N127&lt;0,"可釋放部分棧板位","維持現況"))))</x:f>
        <x:v>非本次棧板儲位分析對象</x:v>
      </x:c>
    </x:row>
    <x:row r="128">
      <x:c r="A128" s="24" t="str">
        <x:f>'500件商品'!A128</x:f>
        <x:v>PX0124</x:v>
      </x:c>
      <x:c r="B128" s="24" t="str">
        <x:f>'500件商品'!B128</x:f>
        <x:v>洗衣粉箱-小包裝</x:v>
      </x:c>
      <x:c r="C128" s="24" t="str">
        <x:f>'500件商品'!D128</x:f>
        <x:v>Cluster 3</x:v>
      </x:c>
      <x:c r="D128" s="26" t="n">
        <x:f>'500件商品'!F128</x:f>
        <x:v>74</x:v>
      </x:c>
      <x:c r="E128" s="24" t="str">
        <x:f>'500件商品'!K128</x:f>
        <x:v>否</x:v>
      </x:c>
      <x:c r="F128" s="24" t="str">
        <x:f>'500件商品'!L128</x:f>
      </x:c>
      <x:c r="G128" s="28" t="n">
        <x:f>'500件商品'!M128</x:f>
        <x:v>1</x:v>
      </x:c>
      <x:c r="H128" s="24" t="str">
        <x:f>'500件商品'!P128</x:f>
        <x:v>是</x:v>
      </x:c>
      <x:c r="I128" s="26" t="n">
        <x:f>'500件商品'!N128</x:f>
        <x:v>371</x:v>
      </x:c>
      <x:c r="J128" s="26" t="n">
        <x:f>'500件商品'!O128</x:f>
        <x:v>72</x:v>
      </x:c>
      <x:c r="K128" s="26" t="n">
        <x:f>IF(H128="是",CEILING(I128/J128,1),0)</x:f>
        <x:v>6</x:v>
      </x:c>
      <x:c r="L128" s="26" t="n">
        <x:f>ROUND(I128*G128,0)</x:f>
        <x:v>371</x:v>
      </x:c>
      <x:c r="M128" s="26" t="n">
        <x:f>IF(H128="是",CEILING(L128/J128,1),0)</x:f>
        <x:v>6</x:v>
      </x:c>
      <x:c r="N128" s="26" t="n">
        <x:f>M128-K128</x:f>
        <x:v>0</x:v>
      </x:c>
      <x:c r="O128" s="24" t="str">
        <x:f>'500件商品'!Q128</x:f>
        <x:v>3區</x:v>
      </x:c>
      <x:c r="P128" s="26" t="n">
        <x:f>'500件商品'!R128</x:f>
        <x:v>32</x:v>
      </x:c>
      <x:c r="Q128" s="24" t="str">
        <x:f>IF(H128="否","非棧板管理",IF(AND(E128="是",N128&gt;0),"季節彈性前移區",IF(OR(C128="Cluster 3",D128&gt;=55),"近端低層棧板區",IF(C128="Cluster 2","中段大貨位",IF(C128="Cluster 4","遠端彈性儲位","中段棧板區")))))</x:f>
        <x:v>近端低層棧板區</x:v>
      </x:c>
      <x:c r="R128" s="24" t="str">
        <x:f>IF(AND(H128="是",E128="是",N128&gt;0),"是","否")</x:f>
        <x:v>否</x:v>
      </x:c>
      <x:c r="S128" s="24" t="str">
        <x:f>IF(H128="否","非本次棧板儲位分析對象",IF(R128="是","旺季前需前移並增加棧板位",IF(N128&gt;0,"需增加棧板位",IF(N128&lt;0,"可釋放部分棧板位","維持現況"))))</x:f>
        <x:v>維持現況</x:v>
      </x:c>
    </x:row>
    <x:row r="129">
      <x:c r="A129" s="24" t="str">
        <x:f>'500件商品'!A129</x:f>
        <x:v>PX0125</x:v>
      </x:c>
      <x:c r="B129" s="24" t="str">
        <x:f>'500件商品'!B129</x:f>
        <x:v>成人紙尿褲-小包裝</x:v>
      </x:c>
      <x:c r="C129" s="24" t="str">
        <x:f>'500件商品'!D129</x:f>
        <x:v>Cluster 2</x:v>
      </x:c>
      <x:c r="D129" s="26" t="n">
        <x:f>'500件商品'!F129</x:f>
        <x:v>31</x:v>
      </x:c>
      <x:c r="E129" s="24" t="str">
        <x:f>'500件商品'!K129</x:f>
        <x:v>否</x:v>
      </x:c>
      <x:c r="F129" s="24" t="str">
        <x:f>'500件商品'!L129</x:f>
      </x:c>
      <x:c r="G129" s="28" t="n">
        <x:f>'500件商品'!M129</x:f>
        <x:v>1</x:v>
      </x:c>
      <x:c r="H129" s="24" t="str">
        <x:f>'500件商品'!P129</x:f>
        <x:v>是</x:v>
      </x:c>
      <x:c r="I129" s="26" t="n">
        <x:f>'500件商品'!N129</x:f>
        <x:v>286</x:v>
      </x:c>
      <x:c r="J129" s="26" t="n">
        <x:f>'500件商品'!O129</x:f>
        <x:v>30</x:v>
      </x:c>
      <x:c r="K129" s="26" t="n">
        <x:f>IF(H129="是",CEILING(I129/J129,1),0)</x:f>
        <x:v>10</x:v>
      </x:c>
      <x:c r="L129" s="26" t="n">
        <x:f>ROUND(I129*G129,0)</x:f>
        <x:v>286</x:v>
      </x:c>
      <x:c r="M129" s="26" t="n">
        <x:f>IF(H129="是",CEILING(L129/J129,1),0)</x:f>
        <x:v>10</x:v>
      </x:c>
      <x:c r="N129" s="26" t="n">
        <x:f>M129-K129</x:f>
        <x:v>0</x:v>
      </x:c>
      <x:c r="O129" s="24" t="str">
        <x:f>'500件商品'!Q129</x:f>
        <x:v>K區</x:v>
      </x:c>
      <x:c r="P129" s="26" t="n">
        <x:f>'500件商品'!R129</x:f>
        <x:v>47</x:v>
      </x:c>
      <x:c r="Q129" s="24" t="str">
        <x:f>IF(H129="否","非棧板管理",IF(AND(E129="是",N129&gt;0),"季節彈性前移區",IF(OR(C129="Cluster 3",D129&gt;=55),"近端低層棧板區",IF(C129="Cluster 2","中段大貨位",IF(C129="Cluster 4","遠端彈性儲位","中段棧板區")))))</x:f>
        <x:v>中段大貨位</x:v>
      </x:c>
      <x:c r="R129" s="24" t="str">
        <x:f>IF(AND(H129="是",E129="是",N129&gt;0),"是","否")</x:f>
        <x:v>否</x:v>
      </x:c>
      <x:c r="S129" s="24" t="str">
        <x:f>IF(H129="否","非本次棧板儲位分析對象",IF(R129="是","旺季前需前移並增加棧板位",IF(N129&gt;0,"需增加棧板位",IF(N129&lt;0,"可釋放部分棧板位","維持現況"))))</x:f>
        <x:v>維持現況</x:v>
      </x:c>
    </x:row>
    <x:row r="130">
      <x:c r="A130" s="24" t="str">
        <x:f>'500件商品'!A130</x:f>
        <x:v>PX0126</x:v>
      </x:c>
      <x:c r="B130" s="24" t="str">
        <x:f>'500件商品'!B130</x:f>
        <x:v>保鮮膜-標準箱</x:v>
      </x:c>
      <x:c r="C130" s="24" t="str">
        <x:f>'500件商品'!D130</x:f>
        <x:v>Cluster 5</x:v>
      </x:c>
      <x:c r="D130" s="26" t="n">
        <x:f>'500件商品'!F130</x:f>
        <x:v>76</x:v>
      </x:c>
      <x:c r="E130" s="24" t="str">
        <x:f>'500件商品'!K130</x:f>
        <x:v>否</x:v>
      </x:c>
      <x:c r="F130" s="24" t="str">
        <x:f>'500件商品'!L130</x:f>
      </x:c>
      <x:c r="G130" s="28" t="n">
        <x:f>'500件商品'!M130</x:f>
        <x:v>1</x:v>
      </x:c>
      <x:c r="H130" s="24" t="str">
        <x:f>'500件商品'!P130</x:f>
        <x:v>是</x:v>
      </x:c>
      <x:c r="I130" s="26" t="n">
        <x:f>'500件商品'!N130</x:f>
        <x:v>747</x:v>
      </x:c>
      <x:c r="J130" s="26" t="n">
        <x:f>'500件商品'!O130</x:f>
        <x:v>60</x:v>
      </x:c>
      <x:c r="K130" s="26" t="n">
        <x:f>IF(H130="是",CEILING(I130/J130,1),0)</x:f>
        <x:v>13</x:v>
      </x:c>
      <x:c r="L130" s="26" t="n">
        <x:f>ROUND(I130*G130,0)</x:f>
        <x:v>747</x:v>
      </x:c>
      <x:c r="M130" s="26" t="n">
        <x:f>IF(H130="是",CEILING(L130/J130,1),0)</x:f>
        <x:v>13</x:v>
      </x:c>
      <x:c r="N130" s="26" t="n">
        <x:f>M130-K130</x:f>
        <x:v>0</x:v>
      </x:c>
      <x:c r="O130" s="24" t="str">
        <x:f>'500件商品'!Q130</x:f>
        <x:v>3區</x:v>
      </x:c>
      <x:c r="P130" s="26" t="n">
        <x:f>'500件商品'!R130</x:f>
        <x:v>41</x:v>
      </x:c>
      <x:c r="Q130" s="24" t="str">
        <x:f>IF(H130="否","非棧板管理",IF(AND(E130="是",N130&gt;0),"季節彈性前移區",IF(OR(C130="Cluster 3",D130&gt;=55),"近端低層棧板區",IF(C130="Cluster 2","中段大貨位",IF(C130="Cluster 4","遠端彈性儲位","中段棧板區")))))</x:f>
        <x:v>近端低層棧板區</x:v>
      </x:c>
      <x:c r="R130" s="24" t="str">
        <x:f>IF(AND(H130="是",E130="是",N130&gt;0),"是","否")</x:f>
        <x:v>否</x:v>
      </x:c>
      <x:c r="S130" s="24" t="str">
        <x:f>IF(H130="否","非本次棧板儲位分析對象",IF(R130="是","旺季前需前移並增加棧板位",IF(N130&gt;0,"需增加棧板位",IF(N130&lt;0,"可釋放部分棧板位","維持現況"))))</x:f>
        <x:v>維持現況</x:v>
      </x:c>
    </x:row>
    <x:row r="131">
      <x:c r="A131" s="24" t="str">
        <x:f>'500件商品'!A131</x:f>
        <x:v>PX0127</x:v>
      </x:c>
      <x:c r="B131" s="24" t="str">
        <x:f>'500件商品'!B131</x:f>
        <x:v>牙膏組-小包裝</x:v>
      </x:c>
      <x:c r="C131" s="24" t="str">
        <x:f>'500件商品'!D131</x:f>
        <x:v>Cluster 5</x:v>
      </x:c>
      <x:c r="D131" s="26" t="n">
        <x:f>'500件商品'!F131</x:f>
        <x:v>53</x:v>
      </x:c>
      <x:c r="E131" s="24" t="str">
        <x:f>'500件商品'!K131</x:f>
        <x:v>否</x:v>
      </x:c>
      <x:c r="F131" s="24" t="str">
        <x:f>'500件商品'!L131</x:f>
      </x:c>
      <x:c r="G131" s="28" t="n">
        <x:f>'500件商品'!M131</x:f>
        <x:v>1</x:v>
      </x:c>
      <x:c r="H131" s="24" t="str">
        <x:f>'500件商品'!P131</x:f>
        <x:v>是</x:v>
      </x:c>
      <x:c r="I131" s="26" t="n">
        <x:f>'500件商品'!N131</x:f>
        <x:v>334</x:v>
      </x:c>
      <x:c r="J131" s="26" t="n">
        <x:f>'500件商品'!O131</x:f>
        <x:v>60</x:v>
      </x:c>
      <x:c r="K131" s="26" t="n">
        <x:f>IF(H131="是",CEILING(I131/J131,1),0)</x:f>
        <x:v>6</x:v>
      </x:c>
      <x:c r="L131" s="26" t="n">
        <x:f>ROUND(I131*G131,0)</x:f>
        <x:v>334</x:v>
      </x:c>
      <x:c r="M131" s="26" t="n">
        <x:f>IF(H131="是",CEILING(L131/J131,1),0)</x:f>
        <x:v>6</x:v>
      </x:c>
      <x:c r="N131" s="26" t="n">
        <x:f>M131-K131</x:f>
        <x:v>0</x:v>
      </x:c>
      <x:c r="O131" s="24" t="str">
        <x:f>'500件商品'!Q131</x:f>
        <x:v>A區</x:v>
      </x:c>
      <x:c r="P131" s="26" t="n">
        <x:f>'500件商品'!R131</x:f>
        <x:v>27</x:v>
      </x:c>
      <x:c r="Q131" s="24" t="str">
        <x:f>IF(H131="否","非棧板管理",IF(AND(E131="是",N131&gt;0),"季節彈性前移區",IF(OR(C131="Cluster 3",D131&gt;=55),"近端低層棧板區",IF(C131="Cluster 2","中段大貨位",IF(C131="Cluster 4","遠端彈性儲位","中段棧板區")))))</x:f>
        <x:v>中段棧板區</x:v>
      </x:c>
      <x:c r="R131" s="24" t="str">
        <x:f>IF(AND(H131="是",E131="是",N131&gt;0),"是","否")</x:f>
        <x:v>否</x:v>
      </x:c>
      <x:c r="S131" s="24" t="str">
        <x:f>IF(H131="否","非本次棧板儲位分析對象",IF(R131="是","旺季前需前移並增加棧板位",IF(N131&gt;0,"需增加棧板位",IF(N131&lt;0,"可釋放部分棧板位","維持現況"))))</x:f>
        <x:v>維持現況</x:v>
      </x:c>
    </x:row>
    <x:row r="132">
      <x:c r="A132" s="24" t="str">
        <x:f>'500件商品'!A132</x:f>
        <x:v>PX0128</x:v>
      </x:c>
      <x:c r="B132" s="24" t="str">
        <x:f>'500件商品'!B132</x:f>
        <x:v>寵物尿布墊-箱裝</x:v>
      </x:c>
      <x:c r="C132" s="24" t="str">
        <x:f>'500件商品'!D132</x:f>
        <x:v>Cluster 2</x:v>
      </x:c>
      <x:c r="D132" s="26" t="n">
        <x:f>'500件商品'!F132</x:f>
        <x:v>48</x:v>
      </x:c>
      <x:c r="E132" s="24" t="str">
        <x:f>'500件商品'!K132</x:f>
        <x:v>否</x:v>
      </x:c>
      <x:c r="F132" s="24" t="str">
        <x:f>'500件商品'!L132</x:f>
      </x:c>
      <x:c r="G132" s="28" t="n">
        <x:f>'500件商品'!M132</x:f>
        <x:v>1</x:v>
      </x:c>
      <x:c r="H132" s="24" t="str">
        <x:f>'500件商品'!P132</x:f>
        <x:v>是</x:v>
      </x:c>
      <x:c r="I132" s="26" t="n">
        <x:f>'500件商品'!N132</x:f>
        <x:v>289</x:v>
      </x:c>
      <x:c r="J132" s="26" t="n">
        <x:f>'500件商品'!O132</x:f>
        <x:v>18</x:v>
      </x:c>
      <x:c r="K132" s="26" t="n">
        <x:f>IF(H132="是",CEILING(I132/J132,1),0)</x:f>
        <x:v>17</x:v>
      </x:c>
      <x:c r="L132" s="26" t="n">
        <x:f>ROUND(I132*G132,0)</x:f>
        <x:v>289</x:v>
      </x:c>
      <x:c r="M132" s="26" t="n">
        <x:f>IF(H132="是",CEILING(L132/J132,1),0)</x:f>
        <x:v>17</x:v>
      </x:c>
      <x:c r="N132" s="26" t="n">
        <x:f>M132-K132</x:f>
        <x:v>0</x:v>
      </x:c>
      <x:c r="O132" s="24" t="str">
        <x:f>'500件商品'!Q132</x:f>
        <x:v>3區</x:v>
      </x:c>
      <x:c r="P132" s="26" t="n">
        <x:f>'500件商品'!R132</x:f>
        <x:v>44</x:v>
      </x:c>
      <x:c r="Q132" s="24" t="str">
        <x:f>IF(H132="否","非棧板管理",IF(AND(E132="是",N132&gt;0),"季節彈性前移區",IF(OR(C132="Cluster 3",D132&gt;=55),"近端低層棧板區",IF(C132="Cluster 2","中段大貨位",IF(C132="Cluster 4","遠端彈性儲位","中段棧板區")))))</x:f>
        <x:v>中段大貨位</x:v>
      </x:c>
      <x:c r="R132" s="24" t="str">
        <x:f>IF(AND(H132="是",E132="是",N132&gt;0),"是","否")</x:f>
        <x:v>否</x:v>
      </x:c>
      <x:c r="S132" s="24" t="str">
        <x:f>IF(H132="否","非本次棧板儲位分析對象",IF(R132="是","旺季前需前移並增加棧板位",IF(N132&gt;0,"需增加棧板位",IF(N132&lt;0,"可釋放部分棧板位","維持現況"))))</x:f>
        <x:v>維持現況</x:v>
      </x:c>
    </x:row>
    <x:row r="133">
      <x:c r="A133" s="24" t="str">
        <x:f>'500件商品'!A133</x:f>
        <x:v>PX0129</x:v>
      </x:c>
      <x:c r="B133" s="24" t="str">
        <x:f>'500件商品'!B133</x:f>
        <x:v>衣架組-箱裝</x:v>
      </x:c>
      <x:c r="C133" s="24" t="str">
        <x:f>'500件商品'!D133</x:f>
        <x:v>Cluster 5</x:v>
      </x:c>
      <x:c r="D133" s="26" t="n">
        <x:f>'500件商品'!F133</x:f>
        <x:v>23</x:v>
      </x:c>
      <x:c r="E133" s="24" t="str">
        <x:f>'500件商品'!K133</x:f>
        <x:v>否</x:v>
      </x:c>
      <x:c r="F133" s="24" t="str">
        <x:f>'500件商品'!L133</x:f>
      </x:c>
      <x:c r="G133" s="28" t="n">
        <x:f>'500件商品'!M133</x:f>
        <x:v>1</x:v>
      </x:c>
      <x:c r="H133" s="24" t="str">
        <x:f>'500件商品'!P133</x:f>
        <x:v>否</x:v>
      </x:c>
      <x:c r="I133" s="26" t="n">
        <x:f>'500件商品'!N133</x:f>
        <x:v>128</x:v>
      </x:c>
      <x:c r="J133" s="26" t="str">
        <x:f>'500件商品'!O133</x:f>
      </x:c>
      <x:c r="K133" s="26" t="n">
        <x:f>IF(H133="是",CEILING(I133/J133,1),0)</x:f>
        <x:v>0</x:v>
      </x:c>
      <x:c r="L133" s="26" t="n">
        <x:f>ROUND(I133*G133,0)</x:f>
        <x:v>128</x:v>
      </x:c>
      <x:c r="M133" s="26" t="n">
        <x:f>IF(H133="是",CEILING(L133/J133,1),0)</x:f>
        <x:v>0</x:v>
      </x:c>
      <x:c r="N133" s="26" t="n">
        <x:f>M133-K133</x:f>
        <x:v>0</x:v>
      </x:c>
      <x:c r="O133" s="24" t="str">
        <x:f>'500件商品'!Q133</x:f>
        <x:v>彈性區</x:v>
      </x:c>
      <x:c r="P133" s="26" t="n">
        <x:f>'500件商品'!R133</x:f>
        <x:v>64</x:v>
      </x:c>
      <x:c r="Q133" s="24" t="str">
        <x:f>IF(H133="否","非棧板管理",IF(AND(E133="是",N133&gt;0),"季節彈性前移區",IF(OR(C133="Cluster 3",D133&gt;=55),"近端低層棧板區",IF(C133="Cluster 2","中段大貨位",IF(C133="Cluster 4","遠端彈性儲位","中段棧板區")))))</x:f>
        <x:v>非棧板管理</x:v>
      </x:c>
      <x:c r="R133" s="24" t="str">
        <x:f>IF(AND(H133="是",E133="是",N133&gt;0),"是","否")</x:f>
        <x:v>否</x:v>
      </x:c>
      <x:c r="S133" s="24" t="str">
        <x:f>IF(H133="否","非本次棧板儲位分析對象",IF(R133="是","旺季前需前移並增加棧板位",IF(N133&gt;0,"需增加棧板位",IF(N133&lt;0,"可釋放部分棧板位","維持現況"))))</x:f>
        <x:v>非本次棧板儲位分析對象</x:v>
      </x:c>
    </x:row>
    <x:row r="134">
      <x:c r="A134" s="24" t="str">
        <x:f>'500件商品'!A134</x:f>
        <x:v>PX0130</x:v>
      </x:c>
      <x:c r="B134" s="24" t="str">
        <x:f>'500件商品'!B134</x:f>
        <x:v>寵物尿布墊-箱裝</x:v>
      </x:c>
      <x:c r="C134" s="24" t="str">
        <x:f>'500件商品'!D134</x:f>
        <x:v>Cluster 2</x:v>
      </x:c>
      <x:c r="D134" s="26" t="n">
        <x:f>'500件商品'!F134</x:f>
        <x:v>27</x:v>
      </x:c>
      <x:c r="E134" s="24" t="str">
        <x:f>'500件商品'!K134</x:f>
        <x:v>否</x:v>
      </x:c>
      <x:c r="F134" s="24" t="str">
        <x:f>'500件商品'!L134</x:f>
      </x:c>
      <x:c r="G134" s="28" t="n">
        <x:f>'500件商品'!M134</x:f>
        <x:v>1</x:v>
      </x:c>
      <x:c r="H134" s="24" t="str">
        <x:f>'500件商品'!P134</x:f>
        <x:v>是</x:v>
      </x:c>
      <x:c r="I134" s="26" t="n">
        <x:f>'500件商品'!N134</x:f>
        <x:v>191</x:v>
      </x:c>
      <x:c r="J134" s="26" t="n">
        <x:f>'500件商品'!O134</x:f>
        <x:v>18</x:v>
      </x:c>
      <x:c r="K134" s="26" t="n">
        <x:f>IF(H134="是",CEILING(I134/J134,1),0)</x:f>
        <x:v>11</x:v>
      </x:c>
      <x:c r="L134" s="26" t="n">
        <x:f>ROUND(I134*G134,0)</x:f>
        <x:v>191</x:v>
      </x:c>
      <x:c r="M134" s="26" t="n">
        <x:f>IF(H134="是",CEILING(L134/J134,1),0)</x:f>
        <x:v>11</x:v>
      </x:c>
      <x:c r="N134" s="26" t="n">
        <x:f>M134-K134</x:f>
        <x:v>0</x:v>
      </x:c>
      <x:c r="O134" s="24" t="str">
        <x:f>'500件商品'!Q134</x:f>
        <x:v>A區</x:v>
      </x:c>
      <x:c r="P134" s="26" t="n">
        <x:f>'500件商品'!R134</x:f>
        <x:v>22</x:v>
      </x:c>
      <x:c r="Q134" s="24" t="str">
        <x:f>IF(H134="否","非棧板管理",IF(AND(E134="是",N134&gt;0),"季節彈性前移區",IF(OR(C134="Cluster 3",D134&gt;=55),"近端低層棧板區",IF(C134="Cluster 2","中段大貨位",IF(C134="Cluster 4","遠端彈性儲位","中段棧板區")))))</x:f>
        <x:v>中段大貨位</x:v>
      </x:c>
      <x:c r="R134" s="24" t="str">
        <x:f>IF(AND(H134="是",E134="是",N134&gt;0),"是","否")</x:f>
        <x:v>否</x:v>
      </x:c>
      <x:c r="S134" s="24" t="str">
        <x:f>IF(H134="否","非本次棧板儲位分析對象",IF(R134="是","旺季前需前移並增加棧板位",IF(N134&gt;0,"需增加棧板位",IF(N134&lt;0,"可釋放部分棧板位","維持現況"))))</x:f>
        <x:v>維持現況</x:v>
      </x:c>
    </x:row>
    <x:row r="135">
      <x:c r="A135" s="24" t="str">
        <x:f>'500件商品'!A135</x:f>
        <x:v>PX0131</x:v>
      </x:c>
      <x:c r="B135" s="24" t="str">
        <x:f>'500件商品'!B135</x:f>
        <x:v>家庭號礦泉水-箱裝</x:v>
      </x:c>
      <x:c r="C135" s="24" t="str">
        <x:f>'500件商品'!D135</x:f>
        <x:v>Cluster 2</x:v>
      </x:c>
      <x:c r="D135" s="26" t="n">
        <x:f>'500件商品'!F135</x:f>
        <x:v>42</x:v>
      </x:c>
      <x:c r="E135" s="24" t="str">
        <x:f>'500件商品'!K135</x:f>
        <x:v>否</x:v>
      </x:c>
      <x:c r="F135" s="24" t="str">
        <x:f>'500件商品'!L135</x:f>
      </x:c>
      <x:c r="G135" s="28" t="n">
        <x:f>'500件商品'!M135</x:f>
        <x:v>1.3</x:v>
      </x:c>
      <x:c r="H135" s="24" t="str">
        <x:f>'500件商品'!P135</x:f>
        <x:v>是</x:v>
      </x:c>
      <x:c r="I135" s="26" t="n">
        <x:f>'500件商品'!N135</x:f>
        <x:v>225</x:v>
      </x:c>
      <x:c r="J135" s="26" t="n">
        <x:f>'500件商品'!O135</x:f>
        <x:v>40</x:v>
      </x:c>
      <x:c r="K135" s="26" t="n">
        <x:f>IF(H135="是",CEILING(I135/J135,1),0)</x:f>
        <x:v>6</x:v>
      </x:c>
      <x:c r="L135" s="26" t="n">
        <x:f>ROUND(I135*G135,0)</x:f>
        <x:v>293</x:v>
      </x:c>
      <x:c r="M135" s="26" t="n">
        <x:f>IF(H135="是",CEILING(L135/J135,1),0)</x:f>
        <x:v>8</x:v>
      </x:c>
      <x:c r="N135" s="26" t="n">
        <x:f>M135-K135</x:f>
        <x:v>2</x:v>
      </x:c>
      <x:c r="O135" s="24" t="str">
        <x:f>'500件商品'!Q135</x:f>
        <x:v>彈性區</x:v>
      </x:c>
      <x:c r="P135" s="26" t="n">
        <x:f>'500件商品'!R135</x:f>
        <x:v>64</x:v>
      </x:c>
      <x:c r="Q135" s="24" t="str">
        <x:f>IF(H135="否","非棧板管理",IF(AND(E135="是",N135&gt;0),"季節彈性前移區",IF(OR(C135="Cluster 3",D135&gt;=55),"近端低層棧板區",IF(C135="Cluster 2","中段大貨位",IF(C135="Cluster 4","遠端彈性儲位","中段棧板區")))))</x:f>
        <x:v>中段大貨位</x:v>
      </x:c>
      <x:c r="R135" s="24" t="str">
        <x:f>IF(AND(H135="是",E135="是",N135&gt;0),"是","否")</x:f>
        <x:v>否</x:v>
      </x:c>
      <x:c r="S135" s="24" t="str">
        <x:f>IF(H135="否","非本次棧板儲位分析對象",IF(R135="是","旺季前需前移並增加棧板位",IF(N135&gt;0,"需增加棧板位",IF(N135&lt;0,"可釋放部分棧板位","維持現況"))))</x:f>
        <x:v>需增加棧板位</x:v>
      </x:c>
    </x:row>
    <x:row r="136">
      <x:c r="A136" s="24" t="str">
        <x:f>'500件商品'!A136</x:f>
        <x:v>PX0132</x:v>
      </x:c>
      <x:c r="B136" s="24" t="str">
        <x:f>'500件商品'!B136</x:f>
        <x:v>保鮮膜-標準箱</x:v>
      </x:c>
      <x:c r="C136" s="24" t="str">
        <x:f>'500件商品'!D136</x:f>
        <x:v>Cluster 5</x:v>
      </x:c>
      <x:c r="D136" s="26" t="n">
        <x:f>'500件商品'!F136</x:f>
        <x:v>31</x:v>
      </x:c>
      <x:c r="E136" s="24" t="str">
        <x:f>'500件商品'!K136</x:f>
        <x:v>否</x:v>
      </x:c>
      <x:c r="F136" s="24" t="str">
        <x:f>'500件商品'!L136</x:f>
      </x:c>
      <x:c r="G136" s="28" t="n">
        <x:f>'500件商品'!M136</x:f>
        <x:v>1</x:v>
      </x:c>
      <x:c r="H136" s="24" t="str">
        <x:f>'500件商品'!P136</x:f>
        <x:v>否</x:v>
      </x:c>
      <x:c r="I136" s="26" t="n">
        <x:f>'500件商品'!N136</x:f>
        <x:v>231</x:v>
      </x:c>
      <x:c r="J136" s="26" t="str">
        <x:f>'500件商品'!O136</x:f>
      </x:c>
      <x:c r="K136" s="26" t="n">
        <x:f>IF(H136="是",CEILING(I136/J136,1),0)</x:f>
        <x:v>0</x:v>
      </x:c>
      <x:c r="L136" s="26" t="n">
        <x:f>ROUND(I136*G136,0)</x:f>
        <x:v>231</x:v>
      </x:c>
      <x:c r="M136" s="26" t="n">
        <x:f>IF(H136="是",CEILING(L136/J136,1),0)</x:f>
        <x:v>0</x:v>
      </x:c>
      <x:c r="N136" s="26" t="n">
        <x:f>M136-K136</x:f>
        <x:v>0</x:v>
      </x:c>
      <x:c r="O136" s="24" t="str">
        <x:f>'500件商品'!Q136</x:f>
        <x:v>彈性區</x:v>
      </x:c>
      <x:c r="P136" s="26" t="n">
        <x:f>'500件商品'!R136</x:f>
        <x:v>48</x:v>
      </x:c>
      <x:c r="Q136" s="24" t="str">
        <x:f>IF(H136="否","非棧板管理",IF(AND(E136="是",N136&gt;0),"季節彈性前移區",IF(OR(C136="Cluster 3",D136&gt;=55),"近端低層棧板區",IF(C136="Cluster 2","中段大貨位",IF(C136="Cluster 4","遠端彈性儲位","中段棧板區")))))</x:f>
        <x:v>非棧板管理</x:v>
      </x:c>
      <x:c r="R136" s="24" t="str">
        <x:f>IF(AND(H136="是",E136="是",N136&gt;0),"是","否")</x:f>
        <x:v>否</x:v>
      </x:c>
      <x:c r="S136" s="24" t="str">
        <x:f>IF(H136="否","非本次棧板儲位分析對象",IF(R136="是","旺季前需前移並增加棧板位",IF(N136&gt;0,"需增加棧板位",IF(N136&lt;0,"可釋放部分棧板位","維持現況"))))</x:f>
        <x:v>非本次棧板儲位分析對象</x:v>
      </x:c>
    </x:row>
    <x:row r="137">
      <x:c r="A137" s="24" t="str">
        <x:f>'500件商品'!A137</x:f>
        <x:v>PX0133</x:v>
      </x:c>
      <x:c r="B137" s="24" t="str">
        <x:f>'500件商品'!B137</x:f>
        <x:v>備用耗材-小包裝</x:v>
      </x:c>
      <x:c r="C137" s="24" t="str">
        <x:f>'500件商品'!D137</x:f>
        <x:v>Cluster 2</x:v>
      </x:c>
      <x:c r="D137" s="26" t="n">
        <x:f>'500件商品'!F137</x:f>
        <x:v>14</x:v>
      </x:c>
      <x:c r="E137" s="24" t="str">
        <x:f>'500件商品'!K137</x:f>
        <x:v>否</x:v>
      </x:c>
      <x:c r="F137" s="24" t="str">
        <x:f>'500件商品'!L137</x:f>
      </x:c>
      <x:c r="G137" s="28" t="n">
        <x:f>'500件商品'!M137</x:f>
        <x:v>1</x:v>
      </x:c>
      <x:c r="H137" s="24" t="str">
        <x:f>'500件商品'!P137</x:f>
        <x:v>是</x:v>
      </x:c>
      <x:c r="I137" s="26" t="n">
        <x:f>'500件商品'!N137</x:f>
        <x:v>86</x:v>
      </x:c>
      <x:c r="J137" s="26" t="n">
        <x:f>'500件商品'!O137</x:f>
        <x:v>18</x:v>
      </x:c>
      <x:c r="K137" s="26" t="n">
        <x:f>IF(H137="是",CEILING(I137/J137,1),0)</x:f>
        <x:v>5</x:v>
      </x:c>
      <x:c r="L137" s="26" t="n">
        <x:f>ROUND(I137*G137,0)</x:f>
        <x:v>86</x:v>
      </x:c>
      <x:c r="M137" s="26" t="n">
        <x:f>IF(H137="是",CEILING(L137/J137,1),0)</x:f>
        <x:v>5</x:v>
      </x:c>
      <x:c r="N137" s="26" t="n">
        <x:f>M137-K137</x:f>
        <x:v>0</x:v>
      </x:c>
      <x:c r="O137" s="24" t="str">
        <x:f>'500件商品'!Q137</x:f>
        <x:v>1區</x:v>
      </x:c>
      <x:c r="P137" s="26" t="n">
        <x:f>'500件商品'!R137</x:f>
        <x:v>44</x:v>
      </x:c>
      <x:c r="Q137" s="24" t="str">
        <x:f>IF(H137="否","非棧板管理",IF(AND(E137="是",N137&gt;0),"季節彈性前移區",IF(OR(C137="Cluster 3",D137&gt;=55),"近端低層棧板區",IF(C137="Cluster 2","中段大貨位",IF(C137="Cluster 4","遠端彈性儲位","中段棧板區")))))</x:f>
        <x:v>中段大貨位</x:v>
      </x:c>
      <x:c r="R137" s="24" t="str">
        <x:f>IF(AND(H137="是",E137="是",N137&gt;0),"是","否")</x:f>
        <x:v>否</x:v>
      </x:c>
      <x:c r="S137" s="24" t="str">
        <x:f>IF(H137="否","非本次棧板儲位分析對象",IF(R137="是","旺季前需前移並增加棧板位",IF(N137&gt;0,"需增加棧板位",IF(N137&lt;0,"可釋放部分棧板位","維持現況"))))</x:f>
        <x:v>維持現況</x:v>
      </x:c>
    </x:row>
    <x:row r="138">
      <x:c r="A138" s="24" t="str">
        <x:f>'500件商品'!A138</x:f>
        <x:v>PX0134</x:v>
      </x:c>
      <x:c r="B138" s="24" t="str">
        <x:f>'500件商品'!B138</x:f>
        <x:v>漂白水-家庭號</x:v>
      </x:c>
      <x:c r="C138" s="24" t="str">
        <x:f>'500件商品'!D138</x:f>
        <x:v>Cluster 1</x:v>
      </x:c>
      <x:c r="D138" s="26" t="n">
        <x:f>'500件商品'!F138</x:f>
        <x:v>17</x:v>
      </x:c>
      <x:c r="E138" s="24" t="str">
        <x:f>'500件商品'!K138</x:f>
        <x:v>否</x:v>
      </x:c>
      <x:c r="F138" s="24" t="str">
        <x:f>'500件商品'!L138</x:f>
      </x:c>
      <x:c r="G138" s="28" t="n">
        <x:f>'500件商品'!M138</x:f>
        <x:v>1.5</x:v>
      </x:c>
      <x:c r="H138" s="24" t="str">
        <x:f>'500件商品'!P138</x:f>
        <x:v>是</x:v>
      </x:c>
      <x:c r="I138" s="26" t="n">
        <x:f>'500件商品'!N138</x:f>
        <x:v>102</x:v>
      </x:c>
      <x:c r="J138" s="26" t="n">
        <x:f>'500件商品'!O138</x:f>
        <x:v>36</x:v>
      </x:c>
      <x:c r="K138" s="26" t="n">
        <x:f>IF(H138="是",CEILING(I138/J138,1),0)</x:f>
        <x:v>3</x:v>
      </x:c>
      <x:c r="L138" s="26" t="n">
        <x:f>ROUND(I138*G138,0)</x:f>
        <x:v>153</x:v>
      </x:c>
      <x:c r="M138" s="26" t="n">
        <x:f>IF(H138="是",CEILING(L138/J138,1),0)</x:f>
        <x:v>5</x:v>
      </x:c>
      <x:c r="N138" s="26" t="n">
        <x:f>M138-K138</x:f>
        <x:v>2</x:v>
      </x:c>
      <x:c r="O138" s="24" t="str">
        <x:f>'500件商品'!Q138</x:f>
        <x:v>遠端區</x:v>
      </x:c>
      <x:c r="P138" s="26" t="n">
        <x:f>'500件商品'!R138</x:f>
        <x:v>55</x:v>
      </x:c>
      <x:c r="Q138" s="24" t="str">
        <x:f>IF(H138="否","非棧板管理",IF(AND(E138="是",N138&gt;0),"季節彈性前移區",IF(OR(C138="Cluster 3",D138&gt;=55),"近端低層棧板區",IF(C138="Cluster 2","中段大貨位",IF(C138="Cluster 4","遠端彈性儲位","中段棧板區")))))</x:f>
        <x:v>中段棧板區</x:v>
      </x:c>
      <x:c r="R138" s="24" t="str">
        <x:f>IF(AND(H138="是",E138="是",N138&gt;0),"是","否")</x:f>
        <x:v>否</x:v>
      </x:c>
      <x:c r="S138" s="24" t="str">
        <x:f>IF(H138="否","非本次棧板儲位分析對象",IF(R138="是","旺季前需前移並增加棧板位",IF(N138&gt;0,"需增加棧板位",IF(N138&lt;0,"可釋放部分棧板位","維持現況"))))</x:f>
        <x:v>需增加棧板位</x:v>
      </x:c>
    </x:row>
    <x:row r="139">
      <x:c r="A139" s="24" t="str">
        <x:f>'500件商品'!A139</x:f>
        <x:v>PX0135</x:v>
      </x:c>
      <x:c r="B139" s="24" t="str">
        <x:f>'500件商品'!B139</x:f>
        <x:v>廚房紙巾-家庭號</x:v>
      </x:c>
      <x:c r="C139" s="24" t="str">
        <x:f>'500件商品'!D139</x:f>
        <x:v>Cluster 2</x:v>
      </x:c>
      <x:c r="D139" s="26" t="n">
        <x:f>'500件商品'!F139</x:f>
        <x:v>35</x:v>
      </x:c>
      <x:c r="E139" s="24" t="str">
        <x:f>'500件商品'!K139</x:f>
        <x:v>否</x:v>
      </x:c>
      <x:c r="F139" s="24" t="str">
        <x:f>'500件商品'!L139</x:f>
      </x:c>
      <x:c r="G139" s="28" t="n">
        <x:f>'500件商品'!M139</x:f>
        <x:v>1</x:v>
      </x:c>
      <x:c r="H139" s="24" t="str">
        <x:f>'500件商品'!P139</x:f>
        <x:v>是</x:v>
      </x:c>
      <x:c r="I139" s="26" t="n">
        <x:f>'500件商品'!N139</x:f>
        <x:v>265</x:v>
      </x:c>
      <x:c r="J139" s="26" t="n">
        <x:f>'500件商品'!O139</x:f>
        <x:v>20</x:v>
      </x:c>
      <x:c r="K139" s="26" t="n">
        <x:f>IF(H139="是",CEILING(I139/J139,1),0)</x:f>
        <x:v>14</x:v>
      </x:c>
      <x:c r="L139" s="26" t="n">
        <x:f>ROUND(I139*G139,0)</x:f>
        <x:v>265</x:v>
      </x:c>
      <x:c r="M139" s="26" t="n">
        <x:f>IF(H139="是",CEILING(L139/J139,1),0)</x:f>
        <x:v>14</x:v>
      </x:c>
      <x:c r="N139" s="26" t="n">
        <x:f>M139-K139</x:f>
        <x:v>0</x:v>
      </x:c>
      <x:c r="O139" s="24" t="str">
        <x:f>'500件商品'!Q139</x:f>
        <x:v>彈性區</x:v>
      </x:c>
      <x:c r="P139" s="26" t="n">
        <x:f>'500件商品'!R139</x:f>
        <x:v>63</x:v>
      </x:c>
      <x:c r="Q139" s="24" t="str">
        <x:f>IF(H139="否","非棧板管理",IF(AND(E139="是",N139&gt;0),"季節彈性前移區",IF(OR(C139="Cluster 3",D139&gt;=55),"近端低層棧板區",IF(C139="Cluster 2","中段大貨位",IF(C139="Cluster 4","遠端彈性儲位","中段棧板區")))))</x:f>
        <x:v>中段大貨位</x:v>
      </x:c>
      <x:c r="R139" s="24" t="str">
        <x:f>IF(AND(H139="是",E139="是",N139&gt;0),"是","否")</x:f>
        <x:v>否</x:v>
      </x:c>
      <x:c r="S139" s="24" t="str">
        <x:f>IF(H139="否","非本次棧板儲位分析對象",IF(R139="是","旺季前需前移並增加棧板位",IF(N139&gt;0,"需增加棧板位",IF(N139&lt;0,"可釋放部分棧板位","維持現況"))))</x:f>
        <x:v>維持現況</x:v>
      </x:c>
    </x:row>
    <x:row r="140">
      <x:c r="A140" s="24" t="str">
        <x:f>'500件商品'!A140</x:f>
        <x:v>PX0136</x:v>
      </x:c>
      <x:c r="B140" s="24" t="str">
        <x:f>'500件商品'!B140</x:f>
        <x:v>運動飲料整箱-箱裝</x:v>
      </x:c>
      <x:c r="C140" s="24" t="str">
        <x:f>'500件商品'!D140</x:f>
        <x:v>Cluster 2</x:v>
      </x:c>
      <x:c r="D140" s="26" t="n">
        <x:f>'500件商品'!F140</x:f>
        <x:v>53</x:v>
      </x:c>
      <x:c r="E140" s="24" t="str">
        <x:f>'500件商品'!K140</x:f>
        <x:v>否</x:v>
      </x:c>
      <x:c r="F140" s="24" t="str">
        <x:f>'500件商品'!L140</x:f>
      </x:c>
      <x:c r="G140" s="28" t="n">
        <x:f>'500件商品'!M140</x:f>
        <x:v>1.5</x:v>
      </x:c>
      <x:c r="H140" s="24" t="str">
        <x:f>'500件商品'!P140</x:f>
        <x:v>是</x:v>
      </x:c>
      <x:c r="I140" s="26" t="n">
        <x:f>'500件商品'!N140</x:f>
        <x:v>238</x:v>
      </x:c>
      <x:c r="J140" s="26" t="n">
        <x:f>'500件商品'!O140</x:f>
        <x:v>36</x:v>
      </x:c>
      <x:c r="K140" s="26" t="n">
        <x:f>IF(H140="是",CEILING(I140/J140,1),0)</x:f>
        <x:v>7</x:v>
      </x:c>
      <x:c r="L140" s="26" t="n">
        <x:f>ROUND(I140*G140,0)</x:f>
        <x:v>357</x:v>
      </x:c>
      <x:c r="M140" s="26" t="n">
        <x:f>IF(H140="是",CEILING(L140/J140,1),0)</x:f>
        <x:v>10</x:v>
      </x:c>
      <x:c r="N140" s="26" t="n">
        <x:f>M140-K140</x:f>
        <x:v>3</x:v>
      </x:c>
      <x:c r="O140" s="24" t="str">
        <x:f>'500件商品'!Q140</x:f>
        <x:v>K區</x:v>
      </x:c>
      <x:c r="P140" s="26" t="n">
        <x:f>'500件商品'!R140</x:f>
        <x:v>53</x:v>
      </x:c>
      <x:c r="Q140" s="24" t="str">
        <x:f>IF(H140="否","非棧板管理",IF(AND(E140="是",N140&gt;0),"季節彈性前移區",IF(OR(C140="Cluster 3",D140&gt;=55),"近端低層棧板區",IF(C140="Cluster 2","中段大貨位",IF(C140="Cluster 4","遠端彈性儲位","中段棧板區")))))</x:f>
        <x:v>中段大貨位</x:v>
      </x:c>
      <x:c r="R140" s="24" t="str">
        <x:f>IF(AND(H140="是",E140="是",N140&gt;0),"是","否")</x:f>
        <x:v>否</x:v>
      </x:c>
      <x:c r="S140" s="24" t="str">
        <x:f>IF(H140="否","非本次棧板儲位分析對象",IF(R140="是","旺季前需前移並增加棧板位",IF(N140&gt;0,"需增加棧板位",IF(N140&lt;0,"可釋放部分棧板位","維持現況"))))</x:f>
        <x:v>需增加棧板位</x:v>
      </x:c>
    </x:row>
    <x:row r="141">
      <x:c r="A141" s="24" t="str">
        <x:f>'500件商品'!A141</x:f>
        <x:v>PX0137</x:v>
      </x:c>
      <x:c r="B141" s="24" t="str">
        <x:f>'500件商品'!B141</x:f>
        <x:v>運動飲料整箱-小包裝</x:v>
      </x:c>
      <x:c r="C141" s="24" t="str">
        <x:f>'500件商品'!D141</x:f>
        <x:v>Cluster 2</x:v>
      </x:c>
      <x:c r="D141" s="26" t="n">
        <x:f>'500件商品'!F141</x:f>
        <x:v>54</x:v>
      </x:c>
      <x:c r="E141" s="24" t="str">
        <x:f>'500件商品'!K141</x:f>
        <x:v>否</x:v>
      </x:c>
      <x:c r="F141" s="24" t="str">
        <x:f>'500件商品'!L141</x:f>
      </x:c>
      <x:c r="G141" s="28" t="n">
        <x:f>'500件商品'!M141</x:f>
        <x:v>1.2</x:v>
      </x:c>
      <x:c r="H141" s="24" t="str">
        <x:f>'500件商品'!P141</x:f>
        <x:v>是</x:v>
      </x:c>
      <x:c r="I141" s="26" t="n">
        <x:f>'500件商品'!N141</x:f>
        <x:v>375</x:v>
      </x:c>
      <x:c r="J141" s="26" t="n">
        <x:f>'500件商品'!O141</x:f>
        <x:v>32</x:v>
      </x:c>
      <x:c r="K141" s="26" t="n">
        <x:f>IF(H141="是",CEILING(I141/J141,1),0)</x:f>
        <x:v>12</x:v>
      </x:c>
      <x:c r="L141" s="26" t="n">
        <x:f>ROUND(I141*G141,0)</x:f>
        <x:v>450</x:v>
      </x:c>
      <x:c r="M141" s="26" t="n">
        <x:f>IF(H141="是",CEILING(L141/J141,1),0)</x:f>
        <x:v>15</x:v>
      </x:c>
      <x:c r="N141" s="26" t="n">
        <x:f>M141-K141</x:f>
        <x:v>3</x:v>
      </x:c>
      <x:c r="O141" s="24" t="str">
        <x:f>'500件商品'!Q141</x:f>
        <x:v>A區</x:v>
      </x:c>
      <x:c r="P141" s="26" t="n">
        <x:f>'500件商品'!R141</x:f>
        <x:v>22</x:v>
      </x:c>
      <x:c r="Q141" s="24" t="str">
        <x:f>IF(H141="否","非棧板管理",IF(AND(E141="是",N141&gt;0),"季節彈性前移區",IF(OR(C141="Cluster 3",D141&gt;=55),"近端低層棧板區",IF(C141="Cluster 2","中段大貨位",IF(C141="Cluster 4","遠端彈性儲位","中段棧板區")))))</x:f>
        <x:v>中段大貨位</x:v>
      </x:c>
      <x:c r="R141" s="24" t="str">
        <x:f>IF(AND(H141="是",E141="是",N141&gt;0),"是","否")</x:f>
        <x:v>否</x:v>
      </x:c>
      <x:c r="S141" s="24" t="str">
        <x:f>IF(H141="否","非本次棧板儲位分析對象",IF(R141="是","旺季前需前移並增加棧板位",IF(N141&gt;0,"需增加棧板位",IF(N141&lt;0,"可釋放部分棧板位","維持現況"))))</x:f>
        <x:v>需增加棧板位</x:v>
      </x:c>
    </x:row>
    <x:row r="142">
      <x:c r="A142" s="24" t="str">
        <x:f>'500件商品'!A142</x:f>
        <x:v>PX0138</x:v>
      </x:c>
      <x:c r="B142" s="24" t="str">
        <x:f>'500件商品'!B142</x:f>
        <x:v>端午禮盒-箱裝</x:v>
      </x:c>
      <x:c r="C142" s="24" t="str">
        <x:f>'500件商品'!D142</x:f>
        <x:v>Cluster 4</x:v>
      </x:c>
      <x:c r="D142" s="26" t="n">
        <x:f>'500件商品'!F142</x:f>
        <x:v>17</x:v>
      </x:c>
      <x:c r="E142" s="24" t="str">
        <x:f>'500件商品'!K142</x:f>
        <x:v>是</x:v>
      </x:c>
      <x:c r="F142" s="24" t="str">
        <x:f>'500件商品'!L142</x:f>
        <x:v>1-2月</x:v>
      </x:c>
      <x:c r="G142" s="28" t="n">
        <x:f>'500件商品'!M142</x:f>
        <x:v>3</x:v>
      </x:c>
      <x:c r="H142" s="24" t="str">
        <x:f>'500件商品'!P142</x:f>
        <x:v>是</x:v>
      </x:c>
      <x:c r="I142" s="26" t="n">
        <x:f>'500件商品'!N142</x:f>
        <x:v>187</x:v>
      </x:c>
      <x:c r="J142" s="26" t="n">
        <x:f>'500件商品'!O142</x:f>
        <x:v>18</x:v>
      </x:c>
      <x:c r="K142" s="26" t="n">
        <x:f>IF(H142="是",CEILING(I142/J142,1),0)</x:f>
        <x:v>11</x:v>
      </x:c>
      <x:c r="L142" s="26" t="n">
        <x:f>ROUND(I142*G142,0)</x:f>
        <x:v>561</x:v>
      </x:c>
      <x:c r="M142" s="26" t="n">
        <x:f>IF(H142="是",CEILING(L142/J142,1),0)</x:f>
        <x:v>32</x:v>
      </x:c>
      <x:c r="N142" s="26" t="n">
        <x:f>M142-K142</x:f>
        <x:v>21</x:v>
      </x:c>
      <x:c r="O142" s="24" t="str">
        <x:f>'500件商品'!Q142</x:f>
        <x:v>A區</x:v>
      </x:c>
      <x:c r="P142" s="26" t="n">
        <x:f>'500件商品'!R142</x:f>
        <x:v>21</x:v>
      </x:c>
      <x:c r="Q142" s="24" t="str">
        <x:f>IF(H142="否","非棧板管理",IF(AND(E142="是",N142&gt;0),"季節彈性前移區",IF(OR(C142="Cluster 3",D142&gt;=55),"近端低層棧板區",IF(C142="Cluster 2","中段大貨位",IF(C142="Cluster 4","遠端彈性儲位","中段棧板區")))))</x:f>
        <x:v>季節彈性前移區</x:v>
      </x:c>
      <x:c r="R142" s="24" t="str">
        <x:f>IF(AND(H142="是",E142="是",N142&gt;0),"是","否")</x:f>
        <x:v>是</x:v>
      </x:c>
      <x:c r="S142" s="24" t="str">
        <x:f>IF(H142="否","非本次棧板儲位分析對象",IF(R142="是","旺季前需前移並增加棧板位",IF(N142&gt;0,"需增加棧板位",IF(N142&lt;0,"可釋放部分棧板位","維持現況"))))</x:f>
        <x:v>旺季前需前移並增加棧板位</x:v>
      </x:c>
    </x:row>
    <x:row r="143">
      <x:c r="A143" s="24" t="str">
        <x:f>'500件商品'!A143</x:f>
        <x:v>PX0139</x:v>
      </x:c>
      <x:c r="B143" s="24" t="str">
        <x:f>'500件商品'!B143</x:f>
        <x:v>乾電池組-促銷組</x:v>
      </x:c>
      <x:c r="C143" s="24" t="str">
        <x:f>'500件商品'!D143</x:f>
        <x:v>Cluster 5</x:v>
      </x:c>
      <x:c r="D143" s="26" t="n">
        <x:f>'500件商品'!F143</x:f>
        <x:v>47</x:v>
      </x:c>
      <x:c r="E143" s="24" t="str">
        <x:f>'500件商品'!K143</x:f>
        <x:v>否</x:v>
      </x:c>
      <x:c r="F143" s="24" t="str">
        <x:f>'500件商品'!L143</x:f>
      </x:c>
      <x:c r="G143" s="28" t="n">
        <x:f>'500件商品'!M143</x:f>
        <x:v>1</x:v>
      </x:c>
      <x:c r="H143" s="24" t="str">
        <x:f>'500件商品'!P143</x:f>
        <x:v>是</x:v>
      </x:c>
      <x:c r="I143" s="26" t="n">
        <x:f>'500件商品'!N143</x:f>
        <x:v>185</x:v>
      </x:c>
      <x:c r="J143" s="26" t="n">
        <x:f>'500件商品'!O143</x:f>
        <x:v>80</x:v>
      </x:c>
      <x:c r="K143" s="26" t="n">
        <x:f>IF(H143="是",CEILING(I143/J143,1),0)</x:f>
        <x:v>3</x:v>
      </x:c>
      <x:c r="L143" s="26" t="n">
        <x:f>ROUND(I143*G143,0)</x:f>
        <x:v>185</x:v>
      </x:c>
      <x:c r="M143" s="26" t="n">
        <x:f>IF(H143="是",CEILING(L143/J143,1),0)</x:f>
        <x:v>3</x:v>
      </x:c>
      <x:c r="N143" s="26" t="n">
        <x:f>M143-K143</x:f>
        <x:v>0</x:v>
      </x:c>
      <x:c r="O143" s="24" t="str">
        <x:f>'500件商品'!Q143</x:f>
        <x:v>1區</x:v>
      </x:c>
      <x:c r="P143" s="26" t="n">
        <x:f>'500件商品'!R143</x:f>
        <x:v>22</x:v>
      </x:c>
      <x:c r="Q143" s="24" t="str">
        <x:f>IF(H143="否","非棧板管理",IF(AND(E143="是",N143&gt;0),"季節彈性前移區",IF(OR(C143="Cluster 3",D143&gt;=55),"近端低層棧板區",IF(C143="Cluster 2","中段大貨位",IF(C143="Cluster 4","遠端彈性儲位","中段棧板區")))))</x:f>
        <x:v>中段棧板區</x:v>
      </x:c>
      <x:c r="R143" s="24" t="str">
        <x:f>IF(AND(H143="是",E143="是",N143&gt;0),"是","否")</x:f>
        <x:v>否</x:v>
      </x:c>
      <x:c r="S143" s="24" t="str">
        <x:f>IF(H143="否","非本次棧板儲位分析對象",IF(R143="是","旺季前需前移並增加棧板位",IF(N143&gt;0,"需增加棧板位",IF(N143&lt;0,"可釋放部分棧板位","維持現況"))))</x:f>
        <x:v>維持現況</x:v>
      </x:c>
    </x:row>
    <x:row r="144">
      <x:c r="A144" s="24" t="str">
        <x:f>'500件商品'!A144</x:f>
        <x:v>PX0140</x:v>
      </x:c>
      <x:c r="B144" s="24" t="str">
        <x:f>'500件商品'!B144</x:f>
        <x:v>咖啡罐裝整箱-小包裝</x:v>
      </x:c>
      <x:c r="C144" s="24" t="str">
        <x:f>'500件商品'!D144</x:f>
        <x:v>Cluster 1</x:v>
      </x:c>
      <x:c r="D144" s="26" t="n">
        <x:f>'500件商品'!F144</x:f>
        <x:v>41</x:v>
      </x:c>
      <x:c r="E144" s="24" t="str">
        <x:f>'500件商品'!K144</x:f>
        <x:v>否</x:v>
      </x:c>
      <x:c r="F144" s="24" t="str">
        <x:f>'500件商品'!L144</x:f>
      </x:c>
      <x:c r="G144" s="28" t="n">
        <x:f>'500件商品'!M144</x:f>
        <x:v>1</x:v>
      </x:c>
      <x:c r="H144" s="24" t="str">
        <x:f>'500件商品'!P144</x:f>
        <x:v>是</x:v>
      </x:c>
      <x:c r="I144" s="26" t="n">
        <x:f>'500件商品'!N144</x:f>
        <x:v>161</x:v>
      </x:c>
      <x:c r="J144" s="26" t="n">
        <x:f>'500件商品'!O144</x:f>
        <x:v>48</x:v>
      </x:c>
      <x:c r="K144" s="26" t="n">
        <x:f>IF(H144="是",CEILING(I144/J144,1),0)</x:f>
        <x:v>4</x:v>
      </x:c>
      <x:c r="L144" s="26" t="n">
        <x:f>ROUND(I144*G144,0)</x:f>
        <x:v>161</x:v>
      </x:c>
      <x:c r="M144" s="26" t="n">
        <x:f>IF(H144="是",CEILING(L144/J144,1),0)</x:f>
        <x:v>4</x:v>
      </x:c>
      <x:c r="N144" s="26" t="n">
        <x:f>M144-K144</x:f>
        <x:v>0</x:v>
      </x:c>
      <x:c r="O144" s="24" t="str">
        <x:f>'500件商品'!Q144</x:f>
        <x:v>A區</x:v>
      </x:c>
      <x:c r="P144" s="26" t="n">
        <x:f>'500件商品'!R144</x:f>
        <x:v>31</x:v>
      </x:c>
      <x:c r="Q144" s="24" t="str">
        <x:f>IF(H144="否","非棧板管理",IF(AND(E144="是",N144&gt;0),"季節彈性前移區",IF(OR(C144="Cluster 3",D144&gt;=55),"近端低層棧板區",IF(C144="Cluster 2","中段大貨位",IF(C144="Cluster 4","遠端彈性儲位","中段棧板區")))))</x:f>
        <x:v>中段棧板區</x:v>
      </x:c>
      <x:c r="R144" s="24" t="str">
        <x:f>IF(AND(H144="是",E144="是",N144&gt;0),"是","否")</x:f>
        <x:v>否</x:v>
      </x:c>
      <x:c r="S144" s="24" t="str">
        <x:f>IF(H144="否","非本次棧板儲位分析對象",IF(R144="是","旺季前需前移並增加棧板位",IF(N144&gt;0,"需增加棧板位",IF(N144&lt;0,"可釋放部分棧板位","維持現況"))))</x:f>
        <x:v>維持現況</x:v>
      </x:c>
    </x:row>
    <x:row r="145">
      <x:c r="A145" s="24" t="str">
        <x:f>'500件商品'!A145</x:f>
        <x:v>PX0141</x:v>
      </x:c>
      <x:c r="B145" s="24" t="str">
        <x:f>'500件商品'!B145</x:f>
        <x:v>尿布箱-標準箱</x:v>
      </x:c>
      <x:c r="C145" s="24" t="str">
        <x:f>'500件商品'!D145</x:f>
        <x:v>Cluster 2</x:v>
      </x:c>
      <x:c r="D145" s="26" t="n">
        <x:f>'500件商品'!F145</x:f>
        <x:v>9</x:v>
      </x:c>
      <x:c r="E145" s="24" t="str">
        <x:f>'500件商品'!K145</x:f>
        <x:v>否</x:v>
      </x:c>
      <x:c r="F145" s="24" t="str">
        <x:f>'500件商品'!L145</x:f>
      </x:c>
      <x:c r="G145" s="28" t="n">
        <x:f>'500件商品'!M145</x:f>
        <x:v>1</x:v>
      </x:c>
      <x:c r="H145" s="24" t="str">
        <x:f>'500件商品'!P145</x:f>
        <x:v>是</x:v>
      </x:c>
      <x:c r="I145" s="26" t="n">
        <x:f>'500件商品'!N145</x:f>
        <x:v>78</x:v>
      </x:c>
      <x:c r="J145" s="26" t="n">
        <x:f>'500件商品'!O145</x:f>
        <x:v>18</x:v>
      </x:c>
      <x:c r="K145" s="26" t="n">
        <x:f>IF(H145="是",CEILING(I145/J145,1),0)</x:f>
        <x:v>5</x:v>
      </x:c>
      <x:c r="L145" s="26" t="n">
        <x:f>ROUND(I145*G145,0)</x:f>
        <x:v>78</x:v>
      </x:c>
      <x:c r="M145" s="26" t="n">
        <x:f>IF(H145="是",CEILING(L145/J145,1),0)</x:f>
        <x:v>5</x:v>
      </x:c>
      <x:c r="N145" s="26" t="n">
        <x:f>M145-K145</x:f>
        <x:v>0</x:v>
      </x:c>
      <x:c r="O145" s="24" t="str">
        <x:f>'500件商品'!Q145</x:f>
        <x:v>遠端區</x:v>
      </x:c>
      <x:c r="P145" s="26" t="n">
        <x:f>'500件商品'!R145</x:f>
        <x:v>62</x:v>
      </x:c>
      <x:c r="Q145" s="24" t="str">
        <x:f>IF(H145="否","非棧板管理",IF(AND(E145="是",N145&gt;0),"季節彈性前移區",IF(OR(C145="Cluster 3",D145&gt;=55),"近端低層棧板區",IF(C145="Cluster 2","中段大貨位",IF(C145="Cluster 4","遠端彈性儲位","中段棧板區")))))</x:f>
        <x:v>中段大貨位</x:v>
      </x:c>
      <x:c r="R145" s="24" t="str">
        <x:f>IF(AND(H145="是",E145="是",N145&gt;0),"是","否")</x:f>
        <x:v>否</x:v>
      </x:c>
      <x:c r="S145" s="24" t="str">
        <x:f>IF(H145="否","非本次棧板儲位分析對象",IF(R145="是","旺季前需前移並增加棧板位",IF(N145&gt;0,"需增加棧板位",IF(N145&lt;0,"可釋放部分棧板位","維持現況"))))</x:f>
        <x:v>維持現況</x:v>
      </x:c>
    </x:row>
    <x:row r="146">
      <x:c r="A146" s="24" t="str">
        <x:f>'500件商品'!A146</x:f>
        <x:v>PX0142</x:v>
      </x:c>
      <x:c r="B146" s="24" t="str">
        <x:f>'500件商品'!B146</x:f>
        <x:v>寵物飼料5kg-箱裝</x:v>
      </x:c>
      <x:c r="C146" s="24" t="str">
        <x:f>'500件商品'!D146</x:f>
        <x:v>Cluster 2</x:v>
      </x:c>
      <x:c r="D146" s="26" t="n">
        <x:f>'500件商品'!F146</x:f>
        <x:v>14</x:v>
      </x:c>
      <x:c r="E146" s="24" t="str">
        <x:f>'500件商品'!K146</x:f>
        <x:v>否</x:v>
      </x:c>
      <x:c r="F146" s="24" t="str">
        <x:f>'500件商品'!L146</x:f>
      </x:c>
      <x:c r="G146" s="28" t="n">
        <x:f>'500件商品'!M146</x:f>
        <x:v>1</x:v>
      </x:c>
      <x:c r="H146" s="24" t="str">
        <x:f>'500件商品'!P146</x:f>
        <x:v>是</x:v>
      </x:c>
      <x:c r="I146" s="26" t="n">
        <x:f>'500件商品'!N146</x:f>
        <x:v>65</x:v>
      </x:c>
      <x:c r="J146" s="26" t="n">
        <x:f>'500件商品'!O146</x:f>
        <x:v>24</x:v>
      </x:c>
      <x:c r="K146" s="26" t="n">
        <x:f>IF(H146="是",CEILING(I146/J146,1),0)</x:f>
        <x:v>3</x:v>
      </x:c>
      <x:c r="L146" s="26" t="n">
        <x:f>ROUND(I146*G146,0)</x:f>
        <x:v>65</x:v>
      </x:c>
      <x:c r="M146" s="26" t="n">
        <x:f>IF(H146="是",CEILING(L146/J146,1),0)</x:f>
        <x:v>3</x:v>
      </x:c>
      <x:c r="N146" s="26" t="n">
        <x:f>M146-K146</x:f>
        <x:v>0</x:v>
      </x:c>
      <x:c r="O146" s="24" t="str">
        <x:f>'500件商品'!Q146</x:f>
        <x:v>3區</x:v>
      </x:c>
      <x:c r="P146" s="26" t="n">
        <x:f>'500件商品'!R146</x:f>
        <x:v>30</x:v>
      </x:c>
      <x:c r="Q146" s="24" t="str">
        <x:f>IF(H146="否","非棧板管理",IF(AND(E146="是",N146&gt;0),"季節彈性前移區",IF(OR(C146="Cluster 3",D146&gt;=55),"近端低層棧板區",IF(C146="Cluster 2","中段大貨位",IF(C146="Cluster 4","遠端彈性儲位","中段棧板區")))))</x:f>
        <x:v>中段大貨位</x:v>
      </x:c>
      <x:c r="R146" s="24" t="str">
        <x:f>IF(AND(H146="是",E146="是",N146&gt;0),"是","否")</x:f>
        <x:v>否</x:v>
      </x:c>
      <x:c r="S146" s="24" t="str">
        <x:f>IF(H146="否","非本次棧板儲位分析對象",IF(R146="是","旺季前需前移並增加棧板位",IF(N146&gt;0,"需增加棧板位",IF(N146&lt;0,"可釋放部分棧板位","維持現況"))))</x:f>
        <x:v>維持現況</x:v>
      </x:c>
    </x:row>
    <x:row r="147">
      <x:c r="A147" s="24" t="str">
        <x:f>'500件商品'!A147</x:f>
        <x:v>PX0143</x:v>
      </x:c>
      <x:c r="B147" s="24" t="str">
        <x:f>'500件商品'!B147</x:f>
        <x:v>保鮮盒-家庭號</x:v>
      </x:c>
      <x:c r="C147" s="24" t="str">
        <x:f>'500件商品'!D147</x:f>
        <x:v>Cluster 5</x:v>
      </x:c>
      <x:c r="D147" s="26" t="n">
        <x:f>'500件商品'!F147</x:f>
        <x:v>58</x:v>
      </x:c>
      <x:c r="E147" s="24" t="str">
        <x:f>'500件商品'!K147</x:f>
        <x:v>否</x:v>
      </x:c>
      <x:c r="F147" s="24" t="str">
        <x:f>'500件商品'!L147</x:f>
      </x:c>
      <x:c r="G147" s="28" t="n">
        <x:f>'500件商品'!M147</x:f>
        <x:v>1</x:v>
      </x:c>
      <x:c r="H147" s="24" t="str">
        <x:f>'500件商品'!P147</x:f>
        <x:v>是</x:v>
      </x:c>
      <x:c r="I147" s="26" t="n">
        <x:f>'500件商品'!N147</x:f>
        <x:v>323</x:v>
      </x:c>
      <x:c r="J147" s="26" t="n">
        <x:f>'500件商品'!O147</x:f>
        <x:v>48</x:v>
      </x:c>
      <x:c r="K147" s="26" t="n">
        <x:f>IF(H147="是",CEILING(I147/J147,1),0)</x:f>
        <x:v>7</x:v>
      </x:c>
      <x:c r="L147" s="26" t="n">
        <x:f>ROUND(I147*G147,0)</x:f>
        <x:v>323</x:v>
      </x:c>
      <x:c r="M147" s="26" t="n">
        <x:f>IF(H147="是",CEILING(L147/J147,1),0)</x:f>
        <x:v>7</x:v>
      </x:c>
      <x:c r="N147" s="26" t="n">
        <x:f>M147-K147</x:f>
        <x:v>0</x:v>
      </x:c>
      <x:c r="O147" s="24" t="str">
        <x:f>'500件商品'!Q147</x:f>
        <x:v>K區</x:v>
      </x:c>
      <x:c r="P147" s="26" t="n">
        <x:f>'500件商品'!R147</x:f>
        <x:v>43</x:v>
      </x:c>
      <x:c r="Q147" s="24" t="str">
        <x:f>IF(H147="否","非棧板管理",IF(AND(E147="是",N147&gt;0),"季節彈性前移區",IF(OR(C147="Cluster 3",D147&gt;=55),"近端低層棧板區",IF(C147="Cluster 2","中段大貨位",IF(C147="Cluster 4","遠端彈性儲位","中段棧板區")))))</x:f>
        <x:v>近端低層棧板區</x:v>
      </x:c>
      <x:c r="R147" s="24" t="str">
        <x:f>IF(AND(H147="是",E147="是",N147&gt;0),"是","否")</x:f>
        <x:v>否</x:v>
      </x:c>
      <x:c r="S147" s="24" t="str">
        <x:f>IF(H147="否","非本次棧板儲位分析對象",IF(R147="是","旺季前需前移並增加棧板位",IF(N147&gt;0,"需增加棧板位",IF(N147&lt;0,"可釋放部分棧板位","維持現況"))))</x:f>
        <x:v>維持現況</x:v>
      </x:c>
    </x:row>
    <x:row r="148">
      <x:c r="A148" s="24" t="str">
        <x:f>'500件商品'!A148</x:f>
        <x:v>PX0144</x:v>
      </x:c>
      <x:c r="B148" s="24" t="str">
        <x:f>'500件商品'!B148</x:f>
        <x:v>防蚊用品-標準箱</x:v>
      </x:c>
      <x:c r="C148" s="24" t="str">
        <x:f>'500件商品'!D148</x:f>
        <x:v>Cluster 4</x:v>
      </x:c>
      <x:c r="D148" s="26" t="n">
        <x:f>'500件商品'!F148</x:f>
        <x:v>62</x:v>
      </x:c>
      <x:c r="E148" s="24" t="str">
        <x:f>'500件商品'!K148</x:f>
        <x:v>是</x:v>
      </x:c>
      <x:c r="F148" s="24" t="str">
        <x:f>'500件商品'!L148</x:f>
        <x:v>5-8月</x:v>
      </x:c>
      <x:c r="G148" s="28" t="n">
        <x:f>'500件商品'!M148</x:f>
        <x:v>1.8</x:v>
      </x:c>
      <x:c r="H148" s="24" t="str">
        <x:f>'500件商品'!P148</x:f>
        <x:v>是</x:v>
      </x:c>
      <x:c r="I148" s="26" t="n">
        <x:f>'500件商品'!N148</x:f>
        <x:v>391</x:v>
      </x:c>
      <x:c r="J148" s="26" t="n">
        <x:f>'500件商品'!O148</x:f>
        <x:v>60</x:v>
      </x:c>
      <x:c r="K148" s="26" t="n">
        <x:f>IF(H148="是",CEILING(I148/J148,1),0)</x:f>
        <x:v>7</x:v>
      </x:c>
      <x:c r="L148" s="26" t="n">
        <x:f>ROUND(I148*G148,0)</x:f>
        <x:v>704</x:v>
      </x:c>
      <x:c r="M148" s="26" t="n">
        <x:f>IF(H148="是",CEILING(L148/J148,1),0)</x:f>
        <x:v>12</x:v>
      </x:c>
      <x:c r="N148" s="26" t="n">
        <x:f>M148-K148</x:f>
        <x:v>5</x:v>
      </x:c>
      <x:c r="O148" s="24" t="str">
        <x:f>'500件商品'!Q148</x:f>
        <x:v>K區</x:v>
      </x:c>
      <x:c r="P148" s="26" t="n">
        <x:f>'500件商品'!R148</x:f>
        <x:v>52</x:v>
      </x:c>
      <x:c r="Q148" s="24" t="str">
        <x:f>IF(H148="否","非棧板管理",IF(AND(E148="是",N148&gt;0),"季節彈性前移區",IF(OR(C148="Cluster 3",D148&gt;=55),"近端低層棧板區",IF(C148="Cluster 2","中段大貨位",IF(C148="Cluster 4","遠端彈性儲位","中段棧板區")))))</x:f>
        <x:v>季節彈性前移區</x:v>
      </x:c>
      <x:c r="R148" s="24" t="str">
        <x:f>IF(AND(H148="是",E148="是",N148&gt;0),"是","否")</x:f>
        <x:v>是</x:v>
      </x:c>
      <x:c r="S148" s="24" t="str">
        <x:f>IF(H148="否","非本次棧板儲位分析對象",IF(R148="是","旺季前需前移並增加棧板位",IF(N148&gt;0,"需增加棧板位",IF(N148&lt;0,"可釋放部分棧板位","維持現況"))))</x:f>
        <x:v>旺季前需前移並增加棧板位</x:v>
      </x:c>
    </x:row>
    <x:row r="149">
      <x:c r="A149" s="24" t="str">
        <x:f>'500件商品'!A149</x:f>
        <x:v>PX0145</x:v>
      </x:c>
      <x:c r="B149" s="24" t="str">
        <x:f>'500件商品'!B149</x:f>
        <x:v>柔軟精-箱裝</x:v>
      </x:c>
      <x:c r="C149" s="24" t="str">
        <x:f>'500件商品'!D149</x:f>
        <x:v>Cluster 1</x:v>
      </x:c>
      <x:c r="D149" s="26" t="n">
        <x:f>'500件商品'!F149</x:f>
        <x:v>40</x:v>
      </x:c>
      <x:c r="E149" s="24" t="str">
        <x:f>'500件商品'!K149</x:f>
        <x:v>否</x:v>
      </x:c>
      <x:c r="F149" s="24" t="str">
        <x:f>'500件商品'!L149</x:f>
      </x:c>
      <x:c r="G149" s="28" t="n">
        <x:f>'500件商品'!M149</x:f>
        <x:v>1.1</x:v>
      </x:c>
      <x:c r="H149" s="24" t="str">
        <x:f>'500件商品'!P149</x:f>
        <x:v>是</x:v>
      </x:c>
      <x:c r="I149" s="26" t="n">
        <x:f>'500件商品'!N149</x:f>
        <x:v>315</x:v>
      </x:c>
      <x:c r="J149" s="26" t="n">
        <x:f>'500件商品'!O149</x:f>
        <x:v>60</x:v>
      </x:c>
      <x:c r="K149" s="26" t="n">
        <x:f>IF(H149="是",CEILING(I149/J149,1),0)</x:f>
        <x:v>6</x:v>
      </x:c>
      <x:c r="L149" s="26" t="n">
        <x:f>ROUND(I149*G149,0)</x:f>
        <x:v>347</x:v>
      </x:c>
      <x:c r="M149" s="26" t="n">
        <x:f>IF(H149="是",CEILING(L149/J149,1),0)</x:f>
        <x:v>6</x:v>
      </x:c>
      <x:c r="N149" s="26" t="n">
        <x:f>M149-K149</x:f>
        <x:v>0</x:v>
      </x:c>
      <x:c r="O149" s="24" t="str">
        <x:f>'500件商品'!Q149</x:f>
        <x:v>3區</x:v>
      </x:c>
      <x:c r="P149" s="26" t="n">
        <x:f>'500件商品'!R149</x:f>
        <x:v>42</x:v>
      </x:c>
      <x:c r="Q149" s="24" t="str">
        <x:f>IF(H149="否","非棧板管理",IF(AND(E149="是",N149&gt;0),"季節彈性前移區",IF(OR(C149="Cluster 3",D149&gt;=55),"近端低層棧板區",IF(C149="Cluster 2","中段大貨位",IF(C149="Cluster 4","遠端彈性儲位","中段棧板區")))))</x:f>
        <x:v>中段棧板區</x:v>
      </x:c>
      <x:c r="R149" s="24" t="str">
        <x:f>IF(AND(H149="是",E149="是",N149&gt;0),"是","否")</x:f>
        <x:v>否</x:v>
      </x:c>
      <x:c r="S149" s="24" t="str">
        <x:f>IF(H149="否","非本次棧板儲位分析對象",IF(R149="是","旺季前需前移並增加棧板位",IF(N149&gt;0,"需增加棧板位",IF(N149&lt;0,"可釋放部分棧板位","維持現況"))))</x:f>
        <x:v>維持現況</x:v>
      </x:c>
    </x:row>
    <x:row r="150">
      <x:c r="A150" s="24" t="str">
        <x:f>'500件商品'!A150</x:f>
        <x:v>PX0146</x:v>
      </x:c>
      <x:c r="B150" s="24" t="str">
        <x:f>'500件商品'!B150</x:f>
        <x:v>漂白水-家庭號</x:v>
      </x:c>
      <x:c r="C150" s="24" t="str">
        <x:f>'500件商品'!D150</x:f>
        <x:v>Cluster 1</x:v>
      </x:c>
      <x:c r="D150" s="26" t="n">
        <x:f>'500件商品'!F150</x:f>
        <x:v>9</x:v>
      </x:c>
      <x:c r="E150" s="24" t="str">
        <x:f>'500件商品'!K150</x:f>
        <x:v>否</x:v>
      </x:c>
      <x:c r="F150" s="24" t="str">
        <x:f>'500件商品'!L150</x:f>
      </x:c>
      <x:c r="G150" s="28" t="n">
        <x:f>'500件商品'!M150</x:f>
        <x:v>1.5</x:v>
      </x:c>
      <x:c r="H150" s="24" t="str">
        <x:f>'500件商品'!P150</x:f>
        <x:v>是</x:v>
      </x:c>
      <x:c r="I150" s="26" t="n">
        <x:f>'500件商品'!N150</x:f>
        <x:v>61</x:v>
      </x:c>
      <x:c r="J150" s="26" t="n">
        <x:f>'500件商品'!O150</x:f>
        <x:v>32</x:v>
      </x:c>
      <x:c r="K150" s="26" t="n">
        <x:f>IF(H150="是",CEILING(I150/J150,1),0)</x:f>
        <x:v>2</x:v>
      </x:c>
      <x:c r="L150" s="26" t="n">
        <x:f>ROUND(I150*G150,0)</x:f>
        <x:v>92</x:v>
      </x:c>
      <x:c r="M150" s="26" t="n">
        <x:f>IF(H150="是",CEILING(L150/J150,1),0)</x:f>
        <x:v>3</x:v>
      </x:c>
      <x:c r="N150" s="26" t="n">
        <x:f>M150-K150</x:f>
        <x:v>1</x:v>
      </x:c>
      <x:c r="O150" s="24" t="str">
        <x:f>'500件商品'!Q150</x:f>
        <x:v>彈性區</x:v>
      </x:c>
      <x:c r="P150" s="26" t="n">
        <x:f>'500件商品'!R150</x:f>
        <x:v>52</x:v>
      </x:c>
      <x:c r="Q150" s="24" t="str">
        <x:f>IF(H150="否","非棧板管理",IF(AND(E150="是",N150&gt;0),"季節彈性前移區",IF(OR(C150="Cluster 3",D150&gt;=55),"近端低層棧板區",IF(C150="Cluster 2","中段大貨位",IF(C150="Cluster 4","遠端彈性儲位","中段棧板區")))))</x:f>
        <x:v>中段棧板區</x:v>
      </x:c>
      <x:c r="R150" s="24" t="str">
        <x:f>IF(AND(H150="是",E150="是",N150&gt;0),"是","否")</x:f>
        <x:v>否</x:v>
      </x:c>
      <x:c r="S150" s="24" t="str">
        <x:f>IF(H150="否","非本次棧板儲位分析對象",IF(R150="是","旺季前需前移並增加棧板位",IF(N150&gt;0,"需增加棧板位",IF(N150&lt;0,"可釋放部分棧板位","維持現況"))))</x:f>
        <x:v>需增加棧板位</x:v>
      </x:c>
    </x:row>
    <x:row r="151">
      <x:c r="A151" s="24" t="str">
        <x:f>'500件商品'!A151</x:f>
        <x:v>PX0147</x:v>
      </x:c>
      <x:c r="B151" s="24" t="str">
        <x:f>'500件商品'!B151</x:f>
        <x:v>寵物尿布墊-標準箱</x:v>
      </x:c>
      <x:c r="C151" s="24" t="str">
        <x:f>'500件商品'!D151</x:f>
        <x:v>Cluster 2</x:v>
      </x:c>
      <x:c r="D151" s="26" t="n">
        <x:f>'500件商品'!F151</x:f>
        <x:v>9</x:v>
      </x:c>
      <x:c r="E151" s="24" t="str">
        <x:f>'500件商品'!K151</x:f>
        <x:v>否</x:v>
      </x:c>
      <x:c r="F151" s="24" t="str">
        <x:f>'500件商品'!L151</x:f>
      </x:c>
      <x:c r="G151" s="28" t="n">
        <x:f>'500件商品'!M151</x:f>
        <x:v>1</x:v>
      </x:c>
      <x:c r="H151" s="24" t="str">
        <x:f>'500件商品'!P151</x:f>
        <x:v>是</x:v>
      </x:c>
      <x:c r="I151" s="26" t="n">
        <x:f>'500件商品'!N151</x:f>
        <x:v>63</x:v>
      </x:c>
      <x:c r="J151" s="26" t="n">
        <x:f>'500件商品'!O151</x:f>
        <x:v>24</x:v>
      </x:c>
      <x:c r="K151" s="26" t="n">
        <x:f>IF(H151="是",CEILING(I151/J151,1),0)</x:f>
        <x:v>3</x:v>
      </x:c>
      <x:c r="L151" s="26" t="n">
        <x:f>ROUND(I151*G151,0)</x:f>
        <x:v>63</x:v>
      </x:c>
      <x:c r="M151" s="26" t="n">
        <x:f>IF(H151="是",CEILING(L151/J151,1),0)</x:f>
        <x:v>3</x:v>
      </x:c>
      <x:c r="N151" s="26" t="n">
        <x:f>M151-K151</x:f>
        <x:v>0</x:v>
      </x:c>
      <x:c r="O151" s="24" t="str">
        <x:f>'500件商品'!Q151</x:f>
        <x:v>遠端區</x:v>
      </x:c>
      <x:c r="P151" s="26" t="n">
        <x:f>'500件商品'!R151</x:f>
        <x:v>75</x:v>
      </x:c>
      <x:c r="Q151" s="24" t="str">
        <x:f>IF(H151="否","非棧板管理",IF(AND(E151="是",N151&gt;0),"季節彈性前移區",IF(OR(C151="Cluster 3",D151&gt;=55),"近端低層棧板區",IF(C151="Cluster 2","中段大貨位",IF(C151="Cluster 4","遠端彈性儲位","中段棧板區")))))</x:f>
        <x:v>中段大貨位</x:v>
      </x:c>
      <x:c r="R151" s="24" t="str">
        <x:f>IF(AND(H151="是",E151="是",N151&gt;0),"是","否")</x:f>
        <x:v>否</x:v>
      </x:c>
      <x:c r="S151" s="24" t="str">
        <x:f>IF(H151="否","非本次棧板儲位分析對象",IF(R151="是","旺季前需前移並增加棧板位",IF(N151&gt;0,"需增加棧板位",IF(N151&lt;0,"可釋放部分棧板位","維持現況"))))</x:f>
        <x:v>維持現況</x:v>
      </x:c>
    </x:row>
    <x:row r="152">
      <x:c r="A152" s="24" t="str">
        <x:f>'500件商品'!A152</x:f>
        <x:v>PX0148</x:v>
      </x:c>
      <x:c r="B152" s="24" t="str">
        <x:f>'500件商品'!B152</x:f>
        <x:v>洗髮精-促銷組</x:v>
      </x:c>
      <x:c r="C152" s="24" t="str">
        <x:f>'500件商品'!D152</x:f>
        <x:v>Cluster 4</x:v>
      </x:c>
      <x:c r="D152" s="26" t="n">
        <x:f>'500件商品'!F152</x:f>
        <x:v>6</x:v>
      </x:c>
      <x:c r="E152" s="24" t="str">
        <x:f>'500件商品'!K152</x:f>
        <x:v>是</x:v>
      </x:c>
      <x:c r="F152" s="24" t="str">
        <x:f>'500件商品'!L152</x:f>
        <x:v>旺季</x:v>
      </x:c>
      <x:c r="G152" s="28" t="n">
        <x:f>'500件商品'!M152</x:f>
        <x:v>2.5</x:v>
      </x:c>
      <x:c r="H152" s="24" t="str">
        <x:f>'500件商品'!P152</x:f>
        <x:v>是</x:v>
      </x:c>
      <x:c r="I152" s="26" t="n">
        <x:f>'500件商品'!N152</x:f>
        <x:v>94</x:v>
      </x:c>
      <x:c r="J152" s="26" t="n">
        <x:f>'500件商品'!O152</x:f>
        <x:v>60</x:v>
      </x:c>
      <x:c r="K152" s="26" t="n">
        <x:f>IF(H152="是",CEILING(I152/J152,1),0)</x:f>
        <x:v>2</x:v>
      </x:c>
      <x:c r="L152" s="26" t="n">
        <x:f>ROUND(I152*G152,0)</x:f>
        <x:v>235</x:v>
      </x:c>
      <x:c r="M152" s="26" t="n">
        <x:f>IF(H152="是",CEILING(L152/J152,1),0)</x:f>
        <x:v>4</x:v>
      </x:c>
      <x:c r="N152" s="26" t="n">
        <x:f>M152-K152</x:f>
        <x:v>2</x:v>
      </x:c>
      <x:c r="O152" s="24" t="str">
        <x:f>'500件商品'!Q152</x:f>
        <x:v>K區</x:v>
      </x:c>
      <x:c r="P152" s="26" t="n">
        <x:f>'500件商品'!R152</x:f>
        <x:v>56</x:v>
      </x:c>
      <x:c r="Q152" s="24" t="str">
        <x:f>IF(H152="否","非棧板管理",IF(AND(E152="是",N152&gt;0),"季節彈性前移區",IF(OR(C152="Cluster 3",D152&gt;=55),"近端低層棧板區",IF(C152="Cluster 2","中段大貨位",IF(C152="Cluster 4","遠端彈性儲位","中段棧板區")))))</x:f>
        <x:v>季節彈性前移區</x:v>
      </x:c>
      <x:c r="R152" s="24" t="str">
        <x:f>IF(AND(H152="是",E152="是",N152&gt;0),"是","否")</x:f>
        <x:v>是</x:v>
      </x:c>
      <x:c r="S152" s="24" t="str">
        <x:f>IF(H152="否","非本次棧板儲位分析對象",IF(R152="是","旺季前需前移並增加棧板位",IF(N152&gt;0,"需增加棧板位",IF(N152&lt;0,"可釋放部分棧板位","維持現況"))))</x:f>
        <x:v>旺季前需前移並增加棧板位</x:v>
      </x:c>
    </x:row>
    <x:row r="153">
      <x:c r="A153" s="24" t="str">
        <x:f>'500件商品'!A153</x:f>
        <x:v>PX0149</x:v>
      </x:c>
      <x:c r="B153" s="24" t="str">
        <x:f>'500件商品'!B153</x:f>
        <x:v>運動飲料整箱-補充包</x:v>
      </x:c>
      <x:c r="C153" s="24" t="str">
        <x:f>'500件商品'!D153</x:f>
        <x:v>Cluster 1</x:v>
      </x:c>
      <x:c r="D153" s="26" t="n">
        <x:f>'500件商品'!F153</x:f>
        <x:v>8</x:v>
      </x:c>
      <x:c r="E153" s="24" t="str">
        <x:f>'500件商品'!K153</x:f>
        <x:v>否</x:v>
      </x:c>
      <x:c r="F153" s="24" t="str">
        <x:f>'500件商品'!L153</x:f>
      </x:c>
      <x:c r="G153" s="28" t="n">
        <x:f>'500件商品'!M153</x:f>
        <x:v>1.5</x:v>
      </x:c>
      <x:c r="H153" s="24" t="str">
        <x:f>'500件商品'!P153</x:f>
        <x:v>是</x:v>
      </x:c>
      <x:c r="I153" s="26" t="n">
        <x:f>'500件商品'!N153</x:f>
        <x:v>51</x:v>
      </x:c>
      <x:c r="J153" s="26" t="n">
        <x:f>'500件商品'!O153</x:f>
        <x:v>32</x:v>
      </x:c>
      <x:c r="K153" s="26" t="n">
        <x:f>IF(H153="是",CEILING(I153/J153,1),0)</x:f>
        <x:v>2</x:v>
      </x:c>
      <x:c r="L153" s="26" t="n">
        <x:f>ROUND(I153*G153,0)</x:f>
        <x:v>77</x:v>
      </x:c>
      <x:c r="M153" s="26" t="n">
        <x:f>IF(H153="是",CEILING(L153/J153,1),0)</x:f>
        <x:v>3</x:v>
      </x:c>
      <x:c r="N153" s="26" t="n">
        <x:f>M153-K153</x:f>
        <x:v>1</x:v>
      </x:c>
      <x:c r="O153" s="24" t="str">
        <x:f>'500件商品'!Q153</x:f>
        <x:v>A區</x:v>
      </x:c>
      <x:c r="P153" s="26" t="n">
        <x:f>'500件商品'!R153</x:f>
        <x:v>34</x:v>
      </x:c>
      <x:c r="Q153" s="24" t="str">
        <x:f>IF(H153="否","非棧板管理",IF(AND(E153="是",N153&gt;0),"季節彈性前移區",IF(OR(C153="Cluster 3",D153&gt;=55),"近端低層棧板區",IF(C153="Cluster 2","中段大貨位",IF(C153="Cluster 4","遠端彈性儲位","中段棧板區")))))</x:f>
        <x:v>中段棧板區</x:v>
      </x:c>
      <x:c r="R153" s="24" t="str">
        <x:f>IF(AND(H153="是",E153="是",N153&gt;0),"是","否")</x:f>
        <x:v>否</x:v>
      </x:c>
      <x:c r="S153" s="24" t="str">
        <x:f>IF(H153="否","非本次棧板儲位分析對象",IF(R153="是","旺季前需前移並增加棧板位",IF(N153&gt;0,"需增加棧板位",IF(N153&lt;0,"可釋放部分棧板位","維持現況"))))</x:f>
        <x:v>需增加棧板位</x:v>
      </x:c>
    </x:row>
    <x:row r="154">
      <x:c r="A154" s="24" t="str">
        <x:f>'500件商品'!A154</x:f>
        <x:v>PX0150</x:v>
      </x:c>
      <x:c r="B154" s="24" t="str">
        <x:f>'500件商品'!B154</x:f>
        <x:v>調味醬油-標準箱</x:v>
      </x:c>
      <x:c r="C154" s="24" t="str">
        <x:f>'500件商品'!D154</x:f>
        <x:v>Cluster 2</x:v>
      </x:c>
      <x:c r="D154" s="26" t="n">
        <x:f>'500件商品'!F154</x:f>
        <x:v>41</x:v>
      </x:c>
      <x:c r="E154" s="24" t="str">
        <x:f>'500件商品'!K154</x:f>
        <x:v>否</x:v>
      </x:c>
      <x:c r="F154" s="24" t="str">
        <x:f>'500件商品'!L154</x:f>
      </x:c>
      <x:c r="G154" s="28" t="n">
        <x:f>'500件商品'!M154</x:f>
        <x:v>1.1</x:v>
      </x:c>
      <x:c r="H154" s="24" t="str">
        <x:f>'500件商品'!P154</x:f>
        <x:v>是</x:v>
      </x:c>
      <x:c r="I154" s="26" t="n">
        <x:f>'500件商品'!N154</x:f>
        <x:v>377</x:v>
      </x:c>
      <x:c r="J154" s="26" t="n">
        <x:f>'500件商品'!O154</x:f>
        <x:v>36</x:v>
      </x:c>
      <x:c r="K154" s="26" t="n">
        <x:f>IF(H154="是",CEILING(I154/J154,1),0)</x:f>
        <x:v>11</x:v>
      </x:c>
      <x:c r="L154" s="26" t="n">
        <x:f>ROUND(I154*G154,0)</x:f>
        <x:v>415</x:v>
      </x:c>
      <x:c r="M154" s="26" t="n">
        <x:f>IF(H154="是",CEILING(L154/J154,1),0)</x:f>
        <x:v>12</x:v>
      </x:c>
      <x:c r="N154" s="26" t="n">
        <x:f>M154-K154</x:f>
        <x:v>1</x:v>
      </x:c>
      <x:c r="O154" s="24" t="str">
        <x:f>'500件商品'!Q154</x:f>
        <x:v>彈性區</x:v>
      </x:c>
      <x:c r="P154" s="26" t="n">
        <x:f>'500件商品'!R154</x:f>
        <x:v>63</x:v>
      </x:c>
      <x:c r="Q154" s="24" t="str">
        <x:f>IF(H154="否","非棧板管理",IF(AND(E154="是",N154&gt;0),"季節彈性前移區",IF(OR(C154="Cluster 3",D154&gt;=55),"近端低層棧板區",IF(C154="Cluster 2","中段大貨位",IF(C154="Cluster 4","遠端彈性儲位","中段棧板區")))))</x:f>
        <x:v>中段大貨位</x:v>
      </x:c>
      <x:c r="R154" s="24" t="str">
        <x:f>IF(AND(H154="是",E154="是",N154&gt;0),"是","否")</x:f>
        <x:v>否</x:v>
      </x:c>
      <x:c r="S154" s="24" t="str">
        <x:f>IF(H154="否","非本次棧板儲位分析對象",IF(R154="是","旺季前需前移並增加棧板位",IF(N154&gt;0,"需增加棧板位",IF(N154&lt;0,"可釋放部分棧板位","維持現況"))))</x:f>
        <x:v>需增加棧板位</x:v>
      </x:c>
    </x:row>
    <x:row r="155">
      <x:c r="A155" s="24" t="str">
        <x:f>'500件商品'!A155</x:f>
        <x:v>PX0151</x:v>
      </x:c>
      <x:c r="B155" s="24" t="str">
        <x:f>'500件商品'!B155</x:f>
        <x:v>中秋禮盒-家庭號</x:v>
      </x:c>
      <x:c r="C155" s="24" t="str">
        <x:f>'500件商品'!D155</x:f>
        <x:v>Cluster 4</x:v>
      </x:c>
      <x:c r="D155" s="26" t="n">
        <x:f>'500件商品'!F155</x:f>
        <x:v>13</x:v>
      </x:c>
      <x:c r="E155" s="24" t="str">
        <x:f>'500件商品'!K155</x:f>
        <x:v>是</x:v>
      </x:c>
      <x:c r="F155" s="24" t="str">
        <x:f>'500件商品'!L155</x:f>
        <x:v>1-2月</x:v>
      </x:c>
      <x:c r="G155" s="28" t="n">
        <x:f>'500件商品'!M155</x:f>
        <x:v>2</x:v>
      </x:c>
      <x:c r="H155" s="24" t="str">
        <x:f>'500件商品'!P155</x:f>
        <x:v>是</x:v>
      </x:c>
      <x:c r="I155" s="26" t="n">
        <x:f>'500件商品'!N155</x:f>
        <x:v>234</x:v>
      </x:c>
      <x:c r="J155" s="26" t="n">
        <x:f>'500件商品'!O155</x:f>
        <x:v>20</x:v>
      </x:c>
      <x:c r="K155" s="26" t="n">
        <x:f>IF(H155="是",CEILING(I155/J155,1),0)</x:f>
        <x:v>12</x:v>
      </x:c>
      <x:c r="L155" s="26" t="n">
        <x:f>ROUND(I155*G155,0)</x:f>
        <x:v>468</x:v>
      </x:c>
      <x:c r="M155" s="26" t="n">
        <x:f>IF(H155="是",CEILING(L155/J155,1),0)</x:f>
        <x:v>24</x:v>
      </x:c>
      <x:c r="N155" s="26" t="n">
        <x:f>M155-K155</x:f>
        <x:v>12</x:v>
      </x:c>
      <x:c r="O155" s="24" t="str">
        <x:f>'500件商品'!Q155</x:f>
        <x:v>3區</x:v>
      </x:c>
      <x:c r="P155" s="26" t="n">
        <x:f>'500件商品'!R155</x:f>
        <x:v>41</x:v>
      </x:c>
      <x:c r="Q155" s="24" t="str">
        <x:f>IF(H155="否","非棧板管理",IF(AND(E155="是",N155&gt;0),"季節彈性前移區",IF(OR(C155="Cluster 3",D155&gt;=55),"近端低層棧板區",IF(C155="Cluster 2","中段大貨位",IF(C155="Cluster 4","遠端彈性儲位","中段棧板區")))))</x:f>
        <x:v>季節彈性前移區</x:v>
      </x:c>
      <x:c r="R155" s="24" t="str">
        <x:f>IF(AND(H155="是",E155="是",N155&gt;0),"是","否")</x:f>
        <x:v>是</x:v>
      </x:c>
      <x:c r="S155" s="24" t="str">
        <x:f>IF(H155="否","非本次棧板儲位分析對象",IF(R155="是","旺季前需前移並增加棧板位",IF(N155&gt;0,"需增加棧板位",IF(N155&lt;0,"可釋放部分棧板位","維持現況"))))</x:f>
        <x:v>旺季前需前移並增加棧板位</x:v>
      </x:c>
    </x:row>
    <x:row r="156">
      <x:c r="A156" s="24" t="str">
        <x:f>'500件商品'!A156</x:f>
        <x:v>PX0152</x:v>
      </x:c>
      <x:c r="B156" s="24" t="str">
        <x:f>'500件商品'!B156</x:f>
        <x:v>包裝膠帶-標準箱</x:v>
      </x:c>
      <x:c r="C156" s="24" t="str">
        <x:f>'500件商品'!D156</x:f>
        <x:v>Cluster 4</x:v>
      </x:c>
      <x:c r="D156" s="26" t="n">
        <x:f>'500件商品'!F156</x:f>
        <x:v>23</x:v>
      </x:c>
      <x:c r="E156" s="24" t="str">
        <x:f>'500件商品'!K156</x:f>
        <x:v>是</x:v>
      </x:c>
      <x:c r="F156" s="24" t="str">
        <x:f>'500件商品'!L156</x:f>
        <x:v>旺季</x:v>
      </x:c>
      <x:c r="G156" s="28" t="n">
        <x:f>'500件商品'!M156</x:f>
        <x:v>1.8</x:v>
      </x:c>
      <x:c r="H156" s="24" t="str">
        <x:f>'500件商品'!P156</x:f>
        <x:v>否</x:v>
      </x:c>
      <x:c r="I156" s="26" t="n">
        <x:f>'500件商品'!N156</x:f>
        <x:v>231</x:v>
      </x:c>
      <x:c r="J156" s="26" t="str">
        <x:f>'500件商品'!O156</x:f>
      </x:c>
      <x:c r="K156" s="26" t="n">
        <x:f>IF(H156="是",CEILING(I156/J156,1),0)</x:f>
        <x:v>0</x:v>
      </x:c>
      <x:c r="L156" s="26" t="n">
        <x:f>ROUND(I156*G156,0)</x:f>
        <x:v>416</x:v>
      </x:c>
      <x:c r="M156" s="26" t="n">
        <x:f>IF(H156="是",CEILING(L156/J156,1),0)</x:f>
        <x:v>0</x:v>
      </x:c>
      <x:c r="N156" s="26" t="n">
        <x:f>M156-K156</x:f>
        <x:v>0</x:v>
      </x:c>
      <x:c r="O156" s="24" t="str">
        <x:f>'500件商品'!Q156</x:f>
        <x:v>遠端區</x:v>
      </x:c>
      <x:c r="P156" s="26" t="n">
        <x:f>'500件商品'!R156</x:f>
        <x:v>56</x:v>
      </x:c>
      <x:c r="Q156" s="24" t="str">
        <x:f>IF(H156="否","非棧板管理",IF(AND(E156="是",N156&gt;0),"季節彈性前移區",IF(OR(C156="Cluster 3",D156&gt;=55),"近端低層棧板區",IF(C156="Cluster 2","中段大貨位",IF(C156="Cluster 4","遠端彈性儲位","中段棧板區")))))</x:f>
        <x:v>非棧板管理</x:v>
      </x:c>
      <x:c r="R156" s="24" t="str">
        <x:f>IF(AND(H156="是",E156="是",N156&gt;0),"是","否")</x:f>
        <x:v>否</x:v>
      </x:c>
      <x:c r="S156" s="24" t="str">
        <x:f>IF(H156="否","非本次棧板儲位分析對象",IF(R156="是","旺季前需前移並增加棧板位",IF(N156&gt;0,"需增加棧板位",IF(N156&lt;0,"可釋放部分棧板位","維持現況"))))</x:f>
        <x:v>非本次棧板儲位分析對象</x:v>
      </x:c>
    </x:row>
    <x:row r="157">
      <x:c r="A157" s="24" t="str">
        <x:f>'500件商品'!A157</x:f>
        <x:v>PX0153</x:v>
      </x:c>
      <x:c r="B157" s="24" t="str">
        <x:f>'500件商品'!B157</x:f>
        <x:v>漂白水-箱裝</x:v>
      </x:c>
      <x:c r="C157" s="24" t="str">
        <x:f>'500件商品'!D157</x:f>
        <x:v>Cluster 3</x:v>
      </x:c>
      <x:c r="D157" s="26" t="n">
        <x:f>'500件商品'!F157</x:f>
        <x:v>66</x:v>
      </x:c>
      <x:c r="E157" s="24" t="str">
        <x:f>'500件商品'!K157</x:f>
        <x:v>否</x:v>
      </x:c>
      <x:c r="F157" s="24" t="str">
        <x:f>'500件商品'!L157</x:f>
      </x:c>
      <x:c r="G157" s="28" t="n">
        <x:f>'500件商品'!M157</x:f>
        <x:v>1.2</x:v>
      </x:c>
      <x:c r="H157" s="24" t="str">
        <x:f>'500件商品'!P157</x:f>
        <x:v>是</x:v>
      </x:c>
      <x:c r="I157" s="26" t="n">
        <x:f>'500件商品'!N157</x:f>
        <x:v>442</x:v>
      </x:c>
      <x:c r="J157" s="26" t="n">
        <x:f>'500件商品'!O157</x:f>
        <x:v>48</x:v>
      </x:c>
      <x:c r="K157" s="26" t="n">
        <x:f>IF(H157="是",CEILING(I157/J157,1),0)</x:f>
        <x:v>10</x:v>
      </x:c>
      <x:c r="L157" s="26" t="n">
        <x:f>ROUND(I157*G157,0)</x:f>
        <x:v>530</x:v>
      </x:c>
      <x:c r="M157" s="26" t="n">
        <x:f>IF(H157="是",CEILING(L157/J157,1),0)</x:f>
        <x:v>12</x:v>
      </x:c>
      <x:c r="N157" s="26" t="n">
        <x:f>M157-K157</x:f>
        <x:v>2</x:v>
      </x:c>
      <x:c r="O157" s="24" t="str">
        <x:f>'500件商品'!Q157</x:f>
        <x:v>彈性區</x:v>
      </x:c>
      <x:c r="P157" s="26" t="n">
        <x:f>'500件商品'!R157</x:f>
        <x:v>52</x:v>
      </x:c>
      <x:c r="Q157" s="24" t="str">
        <x:f>IF(H157="否","非棧板管理",IF(AND(E157="是",N157&gt;0),"季節彈性前移區",IF(OR(C157="Cluster 3",D157&gt;=55),"近端低層棧板區",IF(C157="Cluster 2","中段大貨位",IF(C157="Cluster 4","遠端彈性儲位","中段棧板區")))))</x:f>
        <x:v>近端低層棧板區</x:v>
      </x:c>
      <x:c r="R157" s="24" t="str">
        <x:f>IF(AND(H157="是",E157="是",N157&gt;0),"是","否")</x:f>
        <x:v>否</x:v>
      </x:c>
      <x:c r="S157" s="24" t="str">
        <x:f>IF(H157="否","非本次棧板儲位分析對象",IF(R157="是","旺季前需前移並增加棧板位",IF(N157&gt;0,"需增加棧板位",IF(N157&lt;0,"可釋放部分棧板位","維持現況"))))</x:f>
        <x:v>需增加棧板位</x:v>
      </x:c>
    </x:row>
    <x:row r="158">
      <x:c r="A158" s="24" t="str">
        <x:f>'500件商品'!A158</x:f>
        <x:v>PX0154</x:v>
      </x:c>
      <x:c r="B158" s="24" t="str">
        <x:f>'500件商品'!B158</x:f>
        <x:v>包裝膠帶-箱裝</x:v>
      </x:c>
      <x:c r="C158" s="24" t="str">
        <x:f>'500件商品'!D158</x:f>
        <x:v>Cluster 5</x:v>
      </x:c>
      <x:c r="D158" s="26" t="n">
        <x:f>'500件商品'!F158</x:f>
        <x:v>31</x:v>
      </x:c>
      <x:c r="E158" s="24" t="str">
        <x:f>'500件商品'!K158</x:f>
        <x:v>否</x:v>
      </x:c>
      <x:c r="F158" s="24" t="str">
        <x:f>'500件商品'!L158</x:f>
      </x:c>
      <x:c r="G158" s="28" t="n">
        <x:f>'500件商品'!M158</x:f>
        <x:v>1</x:v>
      </x:c>
      <x:c r="H158" s="24" t="str">
        <x:f>'500件商品'!P158</x:f>
        <x:v>否</x:v>
      </x:c>
      <x:c r="I158" s="26" t="n">
        <x:f>'500件商品'!N158</x:f>
        <x:v>196</x:v>
      </x:c>
      <x:c r="J158" s="26" t="str">
        <x:f>'500件商品'!O158</x:f>
      </x:c>
      <x:c r="K158" s="26" t="n">
        <x:f>IF(H158="是",CEILING(I158/J158,1),0)</x:f>
        <x:v>0</x:v>
      </x:c>
      <x:c r="L158" s="26" t="n">
        <x:f>ROUND(I158*G158,0)</x:f>
        <x:v>196</x:v>
      </x:c>
      <x:c r="M158" s="26" t="n">
        <x:f>IF(H158="是",CEILING(L158/J158,1),0)</x:f>
        <x:v>0</x:v>
      </x:c>
      <x:c r="N158" s="26" t="n">
        <x:f>M158-K158</x:f>
        <x:v>0</x:v>
      </x:c>
      <x:c r="O158" s="24" t="str">
        <x:f>'500件商品'!Q158</x:f>
        <x:v>A區</x:v>
      </x:c>
      <x:c r="P158" s="26" t="n">
        <x:f>'500件商品'!R158</x:f>
        <x:v>38</x:v>
      </x:c>
      <x:c r="Q158" s="24" t="str">
        <x:f>IF(H158="否","非棧板管理",IF(AND(E158="是",N158&gt;0),"季節彈性前移區",IF(OR(C158="Cluster 3",D158&gt;=55),"近端低層棧板區",IF(C158="Cluster 2","中段大貨位",IF(C158="Cluster 4","遠端彈性儲位","中段棧板區")))))</x:f>
        <x:v>非棧板管理</x:v>
      </x:c>
      <x:c r="R158" s="24" t="str">
        <x:f>IF(AND(H158="是",E158="是",N158&gt;0),"是","否")</x:f>
        <x:v>否</x:v>
      </x:c>
      <x:c r="S158" s="24" t="str">
        <x:f>IF(H158="否","非本次棧板儲位分析對象",IF(R158="是","旺季前需前移並增加棧板位",IF(N158&gt;0,"需增加棧板位",IF(N158&lt;0,"可釋放部分棧板位","維持現況"))))</x:f>
        <x:v>非本次棧板儲位分析對象</x:v>
      </x:c>
    </x:row>
    <x:row r="159">
      <x:c r="A159" s="24" t="str">
        <x:f>'500件商品'!A159</x:f>
        <x:v>PX0155</x:v>
      </x:c>
      <x:c r="B159" s="24" t="str">
        <x:f>'500件商品'!B159</x:f>
        <x:v>寵物罐頭箱-補充包</x:v>
      </x:c>
      <x:c r="C159" s="24" t="str">
        <x:f>'500件商品'!D159</x:f>
        <x:v>Cluster 2</x:v>
      </x:c>
      <x:c r="D159" s="26" t="n">
        <x:f>'500件商品'!F159</x:f>
        <x:v>9</x:v>
      </x:c>
      <x:c r="E159" s="24" t="str">
        <x:f>'500件商品'!K159</x:f>
        <x:v>否</x:v>
      </x:c>
      <x:c r="F159" s="24" t="str">
        <x:f>'500件商品'!L159</x:f>
      </x:c>
      <x:c r="G159" s="28" t="n">
        <x:f>'500件商品'!M159</x:f>
        <x:v>1</x:v>
      </x:c>
      <x:c r="H159" s="24" t="str">
        <x:f>'500件商品'!P159</x:f>
        <x:v>是</x:v>
      </x:c>
      <x:c r="I159" s="26" t="n">
        <x:f>'500件商品'!N159</x:f>
        <x:v>60</x:v>
      </x:c>
      <x:c r="J159" s="26" t="n">
        <x:f>'500件商品'!O159</x:f>
        <x:v>18</x:v>
      </x:c>
      <x:c r="K159" s="26" t="n">
        <x:f>IF(H159="是",CEILING(I159/J159,1),0)</x:f>
        <x:v>4</x:v>
      </x:c>
      <x:c r="L159" s="26" t="n">
        <x:f>ROUND(I159*G159,0)</x:f>
        <x:v>60</x:v>
      </x:c>
      <x:c r="M159" s="26" t="n">
        <x:f>IF(H159="是",CEILING(L159/J159,1),0)</x:f>
        <x:v>4</x:v>
      </x:c>
      <x:c r="N159" s="26" t="n">
        <x:f>M159-K159</x:f>
        <x:v>0</x:v>
      </x:c>
      <x:c r="O159" s="24" t="str">
        <x:f>'500件商品'!Q159</x:f>
        <x:v>1區</x:v>
      </x:c>
      <x:c r="P159" s="26" t="n">
        <x:f>'500件商品'!R159</x:f>
        <x:v>29</x:v>
      </x:c>
      <x:c r="Q159" s="24" t="str">
        <x:f>IF(H159="否","非棧板管理",IF(AND(E159="是",N159&gt;0),"季節彈性前移區",IF(OR(C159="Cluster 3",D159&gt;=55),"近端低層棧板區",IF(C159="Cluster 2","中段大貨位",IF(C159="Cluster 4","遠端彈性儲位","中段棧板區")))))</x:f>
        <x:v>中段大貨位</x:v>
      </x:c>
      <x:c r="R159" s="24" t="str">
        <x:f>IF(AND(H159="是",E159="是",N159&gt;0),"是","否")</x:f>
        <x:v>否</x:v>
      </x:c>
      <x:c r="S159" s="24" t="str">
        <x:f>IF(H159="否","非本次棧板儲位分析對象",IF(R159="是","旺季前需前移並增加棧板位",IF(N159&gt;0,"需增加棧板位",IF(N159&lt;0,"可釋放部分棧板位","維持現況"))))</x:f>
        <x:v>維持現況</x:v>
      </x:c>
    </x:row>
    <x:row r="160">
      <x:c r="A160" s="24" t="str">
        <x:f>'500件商品'!A160</x:f>
        <x:v>PX0156</x:v>
      </x:c>
      <x:c r="B160" s="24" t="str">
        <x:f>'500件商品'!B160</x:f>
        <x:v>茶飲料整箱-箱裝</x:v>
      </x:c>
      <x:c r="C160" s="24" t="str">
        <x:f>'500件商品'!D160</x:f>
        <x:v>Cluster 3</x:v>
      </x:c>
      <x:c r="D160" s="26" t="n">
        <x:f>'500件商品'!F160</x:f>
        <x:v>59</x:v>
      </x:c>
      <x:c r="E160" s="24" t="str">
        <x:f>'500件商品'!K160</x:f>
        <x:v>否</x:v>
      </x:c>
      <x:c r="F160" s="24" t="str">
        <x:f>'500件商品'!L160</x:f>
      </x:c>
      <x:c r="G160" s="28" t="n">
        <x:f>'500件商品'!M160</x:f>
        <x:v>1.2</x:v>
      </x:c>
      <x:c r="H160" s="24" t="str">
        <x:f>'500件商品'!P160</x:f>
        <x:v>是</x:v>
      </x:c>
      <x:c r="I160" s="26" t="n">
        <x:f>'500件商品'!N160</x:f>
        <x:v>405</x:v>
      </x:c>
      <x:c r="J160" s="26" t="n">
        <x:f>'500件商品'!O160</x:f>
        <x:v>48</x:v>
      </x:c>
      <x:c r="K160" s="26" t="n">
        <x:f>IF(H160="是",CEILING(I160/J160,1),0)</x:f>
        <x:v>9</x:v>
      </x:c>
      <x:c r="L160" s="26" t="n">
        <x:f>ROUND(I160*G160,0)</x:f>
        <x:v>486</x:v>
      </x:c>
      <x:c r="M160" s="26" t="n">
        <x:f>IF(H160="是",CEILING(L160/J160,1),0)</x:f>
        <x:v>11</x:v>
      </x:c>
      <x:c r="N160" s="26" t="n">
        <x:f>M160-K160</x:f>
        <x:v>2</x:v>
      </x:c>
      <x:c r="O160" s="24" t="str">
        <x:f>'500件商品'!Q160</x:f>
        <x:v>彈性區</x:v>
      </x:c>
      <x:c r="P160" s="26" t="n">
        <x:f>'500件商品'!R160</x:f>
        <x:v>61</x:v>
      </x:c>
      <x:c r="Q160" s="24" t="str">
        <x:f>IF(H160="否","非棧板管理",IF(AND(E160="是",N160&gt;0),"季節彈性前移區",IF(OR(C160="Cluster 3",D160&gt;=55),"近端低層棧板區",IF(C160="Cluster 2","中段大貨位",IF(C160="Cluster 4","遠端彈性儲位","中段棧板區")))))</x:f>
        <x:v>近端低層棧板區</x:v>
      </x:c>
      <x:c r="R160" s="24" t="str">
        <x:f>IF(AND(H160="是",E160="是",N160&gt;0),"是","否")</x:f>
        <x:v>否</x:v>
      </x:c>
      <x:c r="S160" s="24" t="str">
        <x:f>IF(H160="否","非本次棧板儲位分析對象",IF(R160="是","旺季前需前移並增加棧板位",IF(N160&gt;0,"需增加棧板位",IF(N160&lt;0,"可釋放部分棧板位","維持現況"))))</x:f>
        <x:v>需增加棧板位</x:v>
      </x:c>
    </x:row>
    <x:row r="161">
      <x:c r="A161" s="24" t="str">
        <x:f>'500件商品'!A161</x:f>
        <x:v>PX0157</x:v>
      </x:c>
      <x:c r="B161" s="24" t="str">
        <x:f>'500件商品'!B161</x:f>
        <x:v>季節禮盒-補充包</x:v>
      </x:c>
      <x:c r="C161" s="24" t="str">
        <x:f>'500件商品'!D161</x:f>
        <x:v>Cluster 4</x:v>
      </x:c>
      <x:c r="D161" s="26" t="n">
        <x:f>'500件商品'!F161</x:f>
        <x:v>19</x:v>
      </x:c>
      <x:c r="E161" s="24" t="str">
        <x:f>'500件商品'!K161</x:f>
        <x:v>是</x:v>
      </x:c>
      <x:c r="F161" s="24" t="str">
        <x:f>'500件商品'!L161</x:f>
        <x:v>1-2月</x:v>
      </x:c>
      <x:c r="G161" s="28" t="n">
        <x:f>'500件商品'!M161</x:f>
        <x:v>3</x:v>
      </x:c>
      <x:c r="H161" s="24" t="str">
        <x:f>'500件商品'!P161</x:f>
        <x:v>是</x:v>
      </x:c>
      <x:c r="I161" s="26" t="n">
        <x:f>'500件商品'!N161</x:f>
        <x:v>76</x:v>
      </x:c>
      <x:c r="J161" s="26" t="n">
        <x:f>'500件商品'!O161</x:f>
        <x:v>20</x:v>
      </x:c>
      <x:c r="K161" s="26" t="n">
        <x:f>IF(H161="是",CEILING(I161/J161,1),0)</x:f>
        <x:v>4</x:v>
      </x:c>
      <x:c r="L161" s="26" t="n">
        <x:f>ROUND(I161*G161,0)</x:f>
        <x:v>228</x:v>
      </x:c>
      <x:c r="M161" s="26" t="n">
        <x:f>IF(H161="是",CEILING(L161/J161,1),0)</x:f>
        <x:v>12</x:v>
      </x:c>
      <x:c r="N161" s="26" t="n">
        <x:f>M161-K161</x:f>
        <x:v>8</x:v>
      </x:c>
      <x:c r="O161" s="24" t="str">
        <x:f>'500件商品'!Q161</x:f>
        <x:v>1區</x:v>
      </x:c>
      <x:c r="P161" s="26" t="n">
        <x:f>'500件商品'!R161</x:f>
        <x:v>24</x:v>
      </x:c>
      <x:c r="Q161" s="24" t="str">
        <x:f>IF(H161="否","非棧板管理",IF(AND(E161="是",N161&gt;0),"季節彈性前移區",IF(OR(C161="Cluster 3",D161&gt;=55),"近端低層棧板區",IF(C161="Cluster 2","中段大貨位",IF(C161="Cluster 4","遠端彈性儲位","中段棧板區")))))</x:f>
        <x:v>季節彈性前移區</x:v>
      </x:c>
      <x:c r="R161" s="24" t="str">
        <x:f>IF(AND(H161="是",E161="是",N161&gt;0),"是","否")</x:f>
        <x:v>是</x:v>
      </x:c>
      <x:c r="S161" s="24" t="str">
        <x:f>IF(H161="否","非本次棧板儲位分析對象",IF(R161="是","旺季前需前移並增加棧板位",IF(N161&gt;0,"需增加棧板位",IF(N161&lt;0,"可釋放部分棧板位","維持現況"))))</x:f>
        <x:v>旺季前需前移並增加棧板位</x:v>
      </x:c>
    </x:row>
    <x:row r="162">
      <x:c r="A162" s="24" t="str">
        <x:f>'500件商品'!A162</x:f>
        <x:v>PX0158</x:v>
      </x:c>
      <x:c r="B162" s="24" t="str">
        <x:f>'500件商品'!B162</x:f>
        <x:v>寵物飼料5kg-小包裝</x:v>
      </x:c>
      <x:c r="C162" s="24" t="str">
        <x:f>'500件商品'!D162</x:f>
        <x:v>Cluster 2</x:v>
      </x:c>
      <x:c r="D162" s="26" t="n">
        <x:f>'500件商品'!F162</x:f>
        <x:v>26</x:v>
      </x:c>
      <x:c r="E162" s="24" t="str">
        <x:f>'500件商品'!K162</x:f>
        <x:v>否</x:v>
      </x:c>
      <x:c r="F162" s="24" t="str">
        <x:f>'500件商品'!L162</x:f>
      </x:c>
      <x:c r="G162" s="28" t="n">
        <x:f>'500件商品'!M162</x:f>
        <x:v>1</x:v>
      </x:c>
      <x:c r="H162" s="24" t="str">
        <x:f>'500件商品'!P162</x:f>
        <x:v>是</x:v>
      </x:c>
      <x:c r="I162" s="26" t="n">
        <x:f>'500件商品'!N162</x:f>
        <x:v>123</x:v>
      </x:c>
      <x:c r="J162" s="26" t="n">
        <x:f>'500件商品'!O162</x:f>
        <x:v>24</x:v>
      </x:c>
      <x:c r="K162" s="26" t="n">
        <x:f>IF(H162="是",CEILING(I162/J162,1),0)</x:f>
        <x:v>6</x:v>
      </x:c>
      <x:c r="L162" s="26" t="n">
        <x:f>ROUND(I162*G162,0)</x:f>
        <x:v>123</x:v>
      </x:c>
      <x:c r="M162" s="26" t="n">
        <x:f>IF(H162="是",CEILING(L162/J162,1),0)</x:f>
        <x:v>6</x:v>
      </x:c>
      <x:c r="N162" s="26" t="n">
        <x:f>M162-K162</x:f>
        <x:v>0</x:v>
      </x:c>
      <x:c r="O162" s="24" t="str">
        <x:f>'500件商品'!Q162</x:f>
        <x:v>1區</x:v>
      </x:c>
      <x:c r="P162" s="26" t="n">
        <x:f>'500件商品'!R162</x:f>
        <x:v>25</x:v>
      </x:c>
      <x:c r="Q162" s="24" t="str">
        <x:f>IF(H162="否","非棧板管理",IF(AND(E162="是",N162&gt;0),"季節彈性前移區",IF(OR(C162="Cluster 3",D162&gt;=55),"近端低層棧板區",IF(C162="Cluster 2","中段大貨位",IF(C162="Cluster 4","遠端彈性儲位","中段棧板區")))))</x:f>
        <x:v>中段大貨位</x:v>
      </x:c>
      <x:c r="R162" s="24" t="str">
        <x:f>IF(AND(H162="是",E162="是",N162&gt;0),"是","否")</x:f>
        <x:v>否</x:v>
      </x:c>
      <x:c r="S162" s="24" t="str">
        <x:f>IF(H162="否","非本次棧板儲位分析對象",IF(R162="是","旺季前需前移並增加棧板位",IF(N162&gt;0,"需增加棧板位",IF(N162&lt;0,"可釋放部分棧板位","維持現況"))))</x:f>
        <x:v>維持現況</x:v>
      </x:c>
    </x:row>
    <x:row r="163">
      <x:c r="A163" s="24" t="str">
        <x:f>'500件商品'!A163</x:f>
        <x:v>PX0159</x:v>
      </x:c>
      <x:c r="B163" s="24" t="str">
        <x:f>'500件商品'!B163</x:f>
        <x:v>洗衣粉箱-箱裝</x:v>
      </x:c>
      <x:c r="C163" s="24" t="str">
        <x:f>'500件商品'!D163</x:f>
        <x:v>Cluster 1</x:v>
      </x:c>
      <x:c r="D163" s="26" t="n">
        <x:f>'500件商品'!F163</x:f>
        <x:v>38</x:v>
      </x:c>
      <x:c r="E163" s="24" t="str">
        <x:f>'500件商品'!K163</x:f>
        <x:v>否</x:v>
      </x:c>
      <x:c r="F163" s="24" t="str">
        <x:f>'500件商品'!L163</x:f>
      </x:c>
      <x:c r="G163" s="28" t="n">
        <x:f>'500件商品'!M163</x:f>
        <x:v>1</x:v>
      </x:c>
      <x:c r="H163" s="24" t="str">
        <x:f>'500件商品'!P163</x:f>
        <x:v>是</x:v>
      </x:c>
      <x:c r="I163" s="26" t="n">
        <x:f>'500件商品'!N163</x:f>
        <x:v>248</x:v>
      </x:c>
      <x:c r="J163" s="26" t="n">
        <x:f>'500件商品'!O163</x:f>
        <x:v>60</x:v>
      </x:c>
      <x:c r="K163" s="26" t="n">
        <x:f>IF(H163="是",CEILING(I163/J163,1),0)</x:f>
        <x:v>5</x:v>
      </x:c>
      <x:c r="L163" s="26" t="n">
        <x:f>ROUND(I163*G163,0)</x:f>
        <x:v>248</x:v>
      </x:c>
      <x:c r="M163" s="26" t="n">
        <x:f>IF(H163="是",CEILING(L163/J163,1),0)</x:f>
        <x:v>5</x:v>
      </x:c>
      <x:c r="N163" s="26" t="n">
        <x:f>M163-K163</x:f>
        <x:v>0</x:v>
      </x:c>
      <x:c r="O163" s="24" t="str">
        <x:f>'500件商品'!Q163</x:f>
        <x:v>K區</x:v>
      </x:c>
      <x:c r="P163" s="26" t="n">
        <x:f>'500件商品'!R163</x:f>
        <x:v>52</x:v>
      </x:c>
      <x:c r="Q163" s="24" t="str">
        <x:f>IF(H163="否","非棧板管理",IF(AND(E163="是",N163&gt;0),"季節彈性前移區",IF(OR(C163="Cluster 3",D163&gt;=55),"近端低層棧板區",IF(C163="Cluster 2","中段大貨位",IF(C163="Cluster 4","遠端彈性儲位","中段棧板區")))))</x:f>
        <x:v>中段棧板區</x:v>
      </x:c>
      <x:c r="R163" s="24" t="str">
        <x:f>IF(AND(H163="是",E163="是",N163&gt;0),"是","否")</x:f>
        <x:v>否</x:v>
      </x:c>
      <x:c r="S163" s="24" t="str">
        <x:f>IF(H163="否","非本次棧板儲位分析對象",IF(R163="是","旺季前需前移並增加棧板位",IF(N163&gt;0,"需增加棧板位",IF(N163&lt;0,"可釋放部分棧板位","維持現況"))))</x:f>
        <x:v>維持現況</x:v>
      </x:c>
    </x:row>
    <x:row r="164">
      <x:c r="A164" s="24" t="str">
        <x:f>'500件商品'!A164</x:f>
        <x:v>PX0160</x:v>
      </x:c>
      <x:c r="B164" s="24" t="str">
        <x:f>'500件商品'!B164</x:f>
        <x:v>玻璃保鮮盒-箱裝</x:v>
      </x:c>
      <x:c r="C164" s="24" t="str">
        <x:f>'500件商品'!D164</x:f>
        <x:v>Cluster 1</x:v>
      </x:c>
      <x:c r="D164" s="26" t="n">
        <x:f>'500件商品'!F164</x:f>
        <x:v>20</x:v>
      </x:c>
      <x:c r="E164" s="24" t="str">
        <x:f>'500件商品'!K164</x:f>
        <x:v>否</x:v>
      </x:c>
      <x:c r="F164" s="24" t="str">
        <x:f>'500件商品'!L164</x:f>
      </x:c>
      <x:c r="G164" s="28" t="n">
        <x:f>'500件商品'!M164</x:f>
        <x:v>1</x:v>
      </x:c>
      <x:c r="H164" s="24" t="str">
        <x:f>'500件商品'!P164</x:f>
        <x:v>否</x:v>
      </x:c>
      <x:c r="I164" s="26" t="n">
        <x:f>'500件商品'!N164</x:f>
        <x:v>128</x:v>
      </x:c>
      <x:c r="J164" s="26" t="str">
        <x:f>'500件商品'!O164</x:f>
      </x:c>
      <x:c r="K164" s="26" t="n">
        <x:f>IF(H164="是",CEILING(I164/J164,1),0)</x:f>
        <x:v>0</x:v>
      </x:c>
      <x:c r="L164" s="26" t="n">
        <x:f>ROUND(I164*G164,0)</x:f>
        <x:v>128</x:v>
      </x:c>
      <x:c r="M164" s="26" t="n">
        <x:f>IF(H164="是",CEILING(L164/J164,1),0)</x:f>
        <x:v>0</x:v>
      </x:c>
      <x:c r="N164" s="26" t="n">
        <x:f>M164-K164</x:f>
        <x:v>0</x:v>
      </x:c>
      <x:c r="O164" s="24" t="str">
        <x:f>'500件商品'!Q164</x:f>
        <x:v>1區</x:v>
      </x:c>
      <x:c r="P164" s="26" t="n">
        <x:f>'500件商品'!R164</x:f>
        <x:v>21</x:v>
      </x:c>
      <x:c r="Q164" s="24" t="str">
        <x:f>IF(H164="否","非棧板管理",IF(AND(E164="是",N164&gt;0),"季節彈性前移區",IF(OR(C164="Cluster 3",D164&gt;=55),"近端低層棧板區",IF(C164="Cluster 2","中段大貨位",IF(C164="Cluster 4","遠端彈性儲位","中段棧板區")))))</x:f>
        <x:v>非棧板管理</x:v>
      </x:c>
      <x:c r="R164" s="24" t="str">
        <x:f>IF(AND(H164="是",E164="是",N164&gt;0),"是","否")</x:f>
        <x:v>否</x:v>
      </x:c>
      <x:c r="S164" s="24" t="str">
        <x:f>IF(H164="否","非本次棧板儲位分析對象",IF(R164="是","旺季前需前移並增加棧板位",IF(N164&gt;0,"需增加棧板位",IF(N164&lt;0,"可釋放部分棧板位","維持現況"))))</x:f>
        <x:v>非本次棧板儲位分析對象</x:v>
      </x:c>
    </x:row>
    <x:row r="165">
      <x:c r="A165" s="24" t="str">
        <x:f>'500件商品'!A165</x:f>
        <x:v>PX0161</x:v>
      </x:c>
      <x:c r="B165" s="24" t="str">
        <x:f>'500件商品'!B165</x:f>
        <x:v>咖啡罐裝整箱-箱裝</x:v>
      </x:c>
      <x:c r="C165" s="24" t="str">
        <x:f>'500件商品'!D165</x:f>
        <x:v>Cluster 1</x:v>
      </x:c>
      <x:c r="D165" s="26" t="n">
        <x:f>'500件商品'!F165</x:f>
        <x:v>34</x:v>
      </x:c>
      <x:c r="E165" s="24" t="str">
        <x:f>'500件商品'!K165</x:f>
        <x:v>否</x:v>
      </x:c>
      <x:c r="F165" s="24" t="str">
        <x:f>'500件商品'!L165</x:f>
      </x:c>
      <x:c r="G165" s="28" t="n">
        <x:f>'500件商品'!M165</x:f>
        <x:v>1.1</x:v>
      </x:c>
      <x:c r="H165" s="24" t="str">
        <x:f>'500件商品'!P165</x:f>
        <x:v>是</x:v>
      </x:c>
      <x:c r="I165" s="26" t="n">
        <x:f>'500件商品'!N165</x:f>
        <x:v>291</x:v>
      </x:c>
      <x:c r="J165" s="26" t="n">
        <x:f>'500件商品'!O165</x:f>
        <x:v>48</x:v>
      </x:c>
      <x:c r="K165" s="26" t="n">
        <x:f>IF(H165="是",CEILING(I165/J165,1),0)</x:f>
        <x:v>7</x:v>
      </x:c>
      <x:c r="L165" s="26" t="n">
        <x:f>ROUND(I165*G165,0)</x:f>
        <x:v>320</x:v>
      </x:c>
      <x:c r="M165" s="26" t="n">
        <x:f>IF(H165="是",CEILING(L165/J165,1),0)</x:f>
        <x:v>7</x:v>
      </x:c>
      <x:c r="N165" s="26" t="n">
        <x:f>M165-K165</x:f>
        <x:v>0</x:v>
      </x:c>
      <x:c r="O165" s="24" t="str">
        <x:f>'500件商品'!Q165</x:f>
        <x:v>K區</x:v>
      </x:c>
      <x:c r="P165" s="26" t="n">
        <x:f>'500件商品'!R165</x:f>
        <x:v>49</x:v>
      </x:c>
      <x:c r="Q165" s="24" t="str">
        <x:f>IF(H165="否","非棧板管理",IF(AND(E165="是",N165&gt;0),"季節彈性前移區",IF(OR(C165="Cluster 3",D165&gt;=55),"近端低層棧板區",IF(C165="Cluster 2","中段大貨位",IF(C165="Cluster 4","遠端彈性儲位","中段棧板區")))))</x:f>
        <x:v>中段棧板區</x:v>
      </x:c>
      <x:c r="R165" s="24" t="str">
        <x:f>IF(AND(H165="是",E165="是",N165&gt;0),"是","否")</x:f>
        <x:v>否</x:v>
      </x:c>
      <x:c r="S165" s="24" t="str">
        <x:f>IF(H165="否","非本次棧板儲位分析對象",IF(R165="是","旺季前需前移並增加棧板位",IF(N165&gt;0,"需增加棧板位",IF(N165&lt;0,"可釋放部分棧板位","維持現況"))))</x:f>
        <x:v>維持現況</x:v>
      </x:c>
    </x:row>
    <x:row r="166">
      <x:c r="A166" s="24" t="str">
        <x:f>'500件商品'!A166</x:f>
        <x:v>PX0162</x:v>
      </x:c>
      <x:c r="B166" s="24" t="str">
        <x:f>'500件商品'!B166</x:f>
        <x:v>餐巾紙箱-箱裝</x:v>
      </x:c>
      <x:c r="C166" s="24" t="str">
        <x:f>'500件商品'!D166</x:f>
        <x:v>Cluster 5</x:v>
      </x:c>
      <x:c r="D166" s="26" t="n">
        <x:f>'500件商品'!F166</x:f>
        <x:v>11</x:v>
      </x:c>
      <x:c r="E166" s="24" t="str">
        <x:f>'500件商品'!K166</x:f>
        <x:v>否</x:v>
      </x:c>
      <x:c r="F166" s="24" t="str">
        <x:f>'500件商品'!L166</x:f>
      </x:c>
      <x:c r="G166" s="28" t="n">
        <x:f>'500件商品'!M166</x:f>
        <x:v>1</x:v>
      </x:c>
      <x:c r="H166" s="24" t="str">
        <x:f>'500件商品'!P166</x:f>
        <x:v>否</x:v>
      </x:c>
      <x:c r="I166" s="26" t="n">
        <x:f>'500件商品'!N166</x:f>
        <x:v>59</x:v>
      </x:c>
      <x:c r="J166" s="26" t="str">
        <x:f>'500件商品'!O166</x:f>
      </x:c>
      <x:c r="K166" s="26" t="n">
        <x:f>IF(H166="是",CEILING(I166/J166,1),0)</x:f>
        <x:v>0</x:v>
      </x:c>
      <x:c r="L166" s="26" t="n">
        <x:f>ROUND(I166*G166,0)</x:f>
        <x:v>59</x:v>
      </x:c>
      <x:c r="M166" s="26" t="n">
        <x:f>IF(H166="是",CEILING(L166/J166,1),0)</x:f>
        <x:v>0</x:v>
      </x:c>
      <x:c r="N166" s="26" t="n">
        <x:f>M166-K166</x:f>
        <x:v>0</x:v>
      </x:c>
      <x:c r="O166" s="24" t="str">
        <x:f>'500件商品'!Q166</x:f>
        <x:v>彈性區</x:v>
      </x:c>
      <x:c r="P166" s="26" t="n">
        <x:f>'500件商品'!R166</x:f>
        <x:v>60</x:v>
      </x:c>
      <x:c r="Q166" s="24" t="str">
        <x:f>IF(H166="否","非棧板管理",IF(AND(E166="是",N166&gt;0),"季節彈性前移區",IF(OR(C166="Cluster 3",D166&gt;=55),"近端低層棧板區",IF(C166="Cluster 2","中段大貨位",IF(C166="Cluster 4","遠端彈性儲位","中段棧板區")))))</x:f>
        <x:v>非棧板管理</x:v>
      </x:c>
      <x:c r="R166" s="24" t="str">
        <x:f>IF(AND(H166="是",E166="是",N166&gt;0),"是","否")</x:f>
        <x:v>否</x:v>
      </x:c>
      <x:c r="S166" s="24" t="str">
        <x:f>IF(H166="否","非本次棧板儲位分析對象",IF(R166="是","旺季前需前移並增加棧板位",IF(N166&gt;0,"需增加棧板位",IF(N166&lt;0,"可釋放部分棧板位","維持現況"))))</x:f>
        <x:v>非本次棧板儲位分析對象</x:v>
      </x:c>
    </x:row>
    <x:row r="167">
      <x:c r="A167" s="24" t="str">
        <x:f>'500件商品'!A167</x:f>
        <x:v>PX0163</x:v>
      </x:c>
      <x:c r="B167" s="24" t="str">
        <x:f>'500件商品'!B167</x:f>
        <x:v>咖哩塊箱-促銷組</x:v>
      </x:c>
      <x:c r="C167" s="24" t="str">
        <x:f>'500件商品'!D167</x:f>
        <x:v>Cluster 5</x:v>
      </x:c>
      <x:c r="D167" s="26" t="n">
        <x:f>'500件商品'!F167</x:f>
        <x:v>49</x:v>
      </x:c>
      <x:c r="E167" s="24" t="str">
        <x:f>'500件商品'!K167</x:f>
        <x:v>否</x:v>
      </x:c>
      <x:c r="F167" s="24" t="str">
        <x:f>'500件商品'!L167</x:f>
      </x:c>
      <x:c r="G167" s="28" t="n">
        <x:f>'500件商品'!M167</x:f>
        <x:v>1</x:v>
      </x:c>
      <x:c r="H167" s="24" t="str">
        <x:f>'500件商品'!P167</x:f>
        <x:v>是</x:v>
      </x:c>
      <x:c r="I167" s="26" t="n">
        <x:f>'500件商品'!N167</x:f>
        <x:v>276</x:v>
      </x:c>
      <x:c r="J167" s="26" t="n">
        <x:f>'500件商品'!O167</x:f>
        <x:v>72</x:v>
      </x:c>
      <x:c r="K167" s="26" t="n">
        <x:f>IF(H167="是",CEILING(I167/J167,1),0)</x:f>
        <x:v>4</x:v>
      </x:c>
      <x:c r="L167" s="26" t="n">
        <x:f>ROUND(I167*G167,0)</x:f>
        <x:v>276</x:v>
      </x:c>
      <x:c r="M167" s="26" t="n">
        <x:f>IF(H167="是",CEILING(L167/J167,1),0)</x:f>
        <x:v>4</x:v>
      </x:c>
      <x:c r="N167" s="26" t="n">
        <x:f>M167-K167</x:f>
        <x:v>0</x:v>
      </x:c>
      <x:c r="O167" s="24" t="str">
        <x:f>'500件商品'!Q167</x:f>
        <x:v>A區</x:v>
      </x:c>
      <x:c r="P167" s="26" t="n">
        <x:f>'500件商品'!R167</x:f>
        <x:v>27</x:v>
      </x:c>
      <x:c r="Q167" s="24" t="str">
        <x:f>IF(H167="否","非棧板管理",IF(AND(E167="是",N167&gt;0),"季節彈性前移區",IF(OR(C167="Cluster 3",D167&gt;=55),"近端低層棧板區",IF(C167="Cluster 2","中段大貨位",IF(C167="Cluster 4","遠端彈性儲位","中段棧板區")))))</x:f>
        <x:v>中段棧板區</x:v>
      </x:c>
      <x:c r="R167" s="24" t="str">
        <x:f>IF(AND(H167="是",E167="是",N167&gt;0),"是","否")</x:f>
        <x:v>否</x:v>
      </x:c>
      <x:c r="S167" s="24" t="str">
        <x:f>IF(H167="否","非本次棧板儲位分析對象",IF(R167="是","旺季前需前移並增加棧板位",IF(N167&gt;0,"需增加棧板位",IF(N167&lt;0,"可釋放部分棧板位","維持現況"))))</x:f>
        <x:v>維持現況</x:v>
      </x:c>
    </x:row>
    <x:row r="168">
      <x:c r="A168" s="24" t="str">
        <x:f>'500件商品'!A168</x:f>
        <x:v>PX0164</x:v>
      </x:c>
      <x:c r="B168" s="24" t="str">
        <x:f>'500件商品'!B168</x:f>
        <x:v>抹布組-箱裝</x:v>
      </x:c>
      <x:c r="C168" s="24" t="str">
        <x:f>'500件商品'!D168</x:f>
        <x:v>Cluster 2</x:v>
      </x:c>
      <x:c r="D168" s="26" t="n">
        <x:f>'500件商品'!F168</x:f>
        <x:v>81</x:v>
      </x:c>
      <x:c r="E168" s="24" t="str">
        <x:f>'500件商品'!K168</x:f>
        <x:v>否</x:v>
      </x:c>
      <x:c r="F168" s="24" t="str">
        <x:f>'500件商品'!L168</x:f>
      </x:c>
      <x:c r="G168" s="28" t="n">
        <x:f>'500件商品'!M168</x:f>
        <x:v>1.1</x:v>
      </x:c>
      <x:c r="H168" s="24" t="str">
        <x:f>'500件商品'!P168</x:f>
        <x:v>是</x:v>
      </x:c>
      <x:c r="I168" s="26" t="n">
        <x:f>'500件商品'!N168</x:f>
        <x:v>714</x:v>
      </x:c>
      <x:c r="J168" s="26" t="n">
        <x:f>'500件商品'!O168</x:f>
        <x:v>30</x:v>
      </x:c>
      <x:c r="K168" s="26" t="n">
        <x:f>IF(H168="是",CEILING(I168/J168,1),0)</x:f>
        <x:v>24</x:v>
      </x:c>
      <x:c r="L168" s="26" t="n">
        <x:f>ROUND(I168*G168,0)</x:f>
        <x:v>785</x:v>
      </x:c>
      <x:c r="M168" s="26" t="n">
        <x:f>IF(H168="是",CEILING(L168/J168,1),0)</x:f>
        <x:v>27</x:v>
      </x:c>
      <x:c r="N168" s="26" t="n">
        <x:f>M168-K168</x:f>
        <x:v>3</x:v>
      </x:c>
      <x:c r="O168" s="24" t="str">
        <x:f>'500件商品'!Q168</x:f>
        <x:v>1區</x:v>
      </x:c>
      <x:c r="P168" s="26" t="n">
        <x:f>'500件商品'!R168</x:f>
        <x:v>29</x:v>
      </x:c>
      <x:c r="Q168" s="24" t="str">
        <x:f>IF(H168="否","非棧板管理",IF(AND(E168="是",N168&gt;0),"季節彈性前移區",IF(OR(C168="Cluster 3",D168&gt;=55),"近端低層棧板區",IF(C168="Cluster 2","中段大貨位",IF(C168="Cluster 4","遠端彈性儲位","中段棧板區")))))</x:f>
        <x:v>近端低層棧板區</x:v>
      </x:c>
      <x:c r="R168" s="24" t="str">
        <x:f>IF(AND(H168="是",E168="是",N168&gt;0),"是","否")</x:f>
        <x:v>否</x:v>
      </x:c>
      <x:c r="S168" s="24" t="str">
        <x:f>IF(H168="否","非本次棧板儲位分析對象",IF(R168="是","旺季前需前移並增加棧板位",IF(N168&gt;0,"需增加棧板位",IF(N168&lt;0,"可釋放部分棧板位","維持現況"))))</x:f>
        <x:v>需增加棧板位</x:v>
      </x:c>
    </x:row>
    <x:row r="169">
      <x:c r="A169" s="24" t="str">
        <x:f>'500件商品'!A169</x:f>
        <x:v>PX0165</x:v>
      </x:c>
      <x:c r="B169" s="24" t="str">
        <x:f>'500件商品'!B169</x:f>
        <x:v>地板清潔劑-促銷組</x:v>
      </x:c>
      <x:c r="C169" s="24" t="str">
        <x:f>'500件商品'!D169</x:f>
        <x:v>Cluster 1</x:v>
      </x:c>
      <x:c r="D169" s="26" t="n">
        <x:f>'500件商品'!F169</x:f>
        <x:v>23</x:v>
      </x:c>
      <x:c r="E169" s="24" t="str">
        <x:f>'500件商品'!K169</x:f>
        <x:v>否</x:v>
      </x:c>
      <x:c r="F169" s="24" t="str">
        <x:f>'500件商品'!L169</x:f>
      </x:c>
      <x:c r="G169" s="28" t="n">
        <x:f>'500件商品'!M169</x:f>
        <x:v>1</x:v>
      </x:c>
      <x:c r="H169" s="24" t="str">
        <x:f>'500件商品'!P169</x:f>
        <x:v>是</x:v>
      </x:c>
      <x:c r="I169" s="26" t="n">
        <x:f>'500件商品'!N169</x:f>
        <x:v>186</x:v>
      </x:c>
      <x:c r="J169" s="26" t="n">
        <x:f>'500件商品'!O169</x:f>
        <x:v>72</x:v>
      </x:c>
      <x:c r="K169" s="26" t="n">
        <x:f>IF(H169="是",CEILING(I169/J169,1),0)</x:f>
        <x:v>3</x:v>
      </x:c>
      <x:c r="L169" s="26" t="n">
        <x:f>ROUND(I169*G169,0)</x:f>
        <x:v>186</x:v>
      </x:c>
      <x:c r="M169" s="26" t="n">
        <x:f>IF(H169="是",CEILING(L169/J169,1),0)</x:f>
        <x:v>3</x:v>
      </x:c>
      <x:c r="N169" s="26" t="n">
        <x:f>M169-K169</x:f>
        <x:v>0</x:v>
      </x:c>
      <x:c r="O169" s="24" t="str">
        <x:f>'500件商品'!Q169</x:f>
        <x:v>遠端區</x:v>
      </x:c>
      <x:c r="P169" s="26" t="n">
        <x:f>'500件商品'!R169</x:f>
        <x:v>55</x:v>
      </x:c>
      <x:c r="Q169" s="24" t="str">
        <x:f>IF(H169="否","非棧板管理",IF(AND(E169="是",N169&gt;0),"季節彈性前移區",IF(OR(C169="Cluster 3",D169&gt;=55),"近端低層棧板區",IF(C169="Cluster 2","中段大貨位",IF(C169="Cluster 4","遠端彈性儲位","中段棧板區")))))</x:f>
        <x:v>中段棧板區</x:v>
      </x:c>
      <x:c r="R169" s="24" t="str">
        <x:f>IF(AND(H169="是",E169="是",N169&gt;0),"是","否")</x:f>
        <x:v>否</x:v>
      </x:c>
      <x:c r="S169" s="24" t="str">
        <x:f>IF(H169="否","非本次棧板儲位分析對象",IF(R169="是","旺季前需前移並增加棧板位",IF(N169&gt;0,"需增加棧板位",IF(N169&lt;0,"可釋放部分棧板位","維持現況"))))</x:f>
        <x:v>維持現況</x:v>
      </x:c>
    </x:row>
    <x:row r="170">
      <x:c r="A170" s="24" t="str">
        <x:f>'500件商品'!A170</x:f>
        <x:v>PX0166</x:v>
      </x:c>
      <x:c r="B170" s="24" t="str">
        <x:f>'500件商品'!B170</x:f>
        <x:v>備用耗材-小包裝</x:v>
      </x:c>
      <x:c r="C170" s="24" t="str">
        <x:f>'500件商品'!D170</x:f>
        <x:v>Cluster 5</x:v>
      </x:c>
      <x:c r="D170" s="26" t="n">
        <x:f>'500件商品'!F170</x:f>
        <x:v>7</x:v>
      </x:c>
      <x:c r="E170" s="24" t="str">
        <x:f>'500件商品'!K170</x:f>
        <x:v>否</x:v>
      </x:c>
      <x:c r="F170" s="24" t="str">
        <x:f>'500件商品'!L170</x:f>
      </x:c>
      <x:c r="G170" s="28" t="n">
        <x:f>'500件商品'!M170</x:f>
        <x:v>1</x:v>
      </x:c>
      <x:c r="H170" s="24" t="str">
        <x:f>'500件商品'!P170</x:f>
        <x:v>否</x:v>
      </x:c>
      <x:c r="I170" s="26" t="n">
        <x:f>'500件商品'!N170</x:f>
        <x:v>33</x:v>
      </x:c>
      <x:c r="J170" s="26" t="str">
        <x:f>'500件商品'!O170</x:f>
      </x:c>
      <x:c r="K170" s="26" t="n">
        <x:f>IF(H170="是",CEILING(I170/J170,1),0)</x:f>
        <x:v>0</x:v>
      </x:c>
      <x:c r="L170" s="26" t="n">
        <x:f>ROUND(I170*G170,0)</x:f>
        <x:v>33</x:v>
      </x:c>
      <x:c r="M170" s="26" t="n">
        <x:f>IF(H170="是",CEILING(L170/J170,1),0)</x:f>
        <x:v>0</x:v>
      </x:c>
      <x:c r="N170" s="26" t="n">
        <x:f>M170-K170</x:f>
        <x:v>0</x:v>
      </x:c>
      <x:c r="O170" s="24" t="str">
        <x:f>'500件商品'!Q170</x:f>
        <x:v>彈性區</x:v>
      </x:c>
      <x:c r="P170" s="26" t="n">
        <x:f>'500件商品'!R170</x:f>
        <x:v>46</x:v>
      </x:c>
      <x:c r="Q170" s="24" t="str">
        <x:f>IF(H170="否","非棧板管理",IF(AND(E170="是",N170&gt;0),"季節彈性前移區",IF(OR(C170="Cluster 3",D170&gt;=55),"近端低層棧板區",IF(C170="Cluster 2","中段大貨位",IF(C170="Cluster 4","遠端彈性儲位","中段棧板區")))))</x:f>
        <x:v>非棧板管理</x:v>
      </x:c>
      <x:c r="R170" s="24" t="str">
        <x:f>IF(AND(H170="是",E170="是",N170&gt;0),"是","否")</x:f>
        <x:v>否</x:v>
      </x:c>
      <x:c r="S170" s="24" t="str">
        <x:f>IF(H170="否","非本次棧板儲位分析對象",IF(R170="是","旺季前需前移並增加棧板位",IF(N170&gt;0,"需增加棧板位",IF(N170&lt;0,"可釋放部分棧板位","維持現況"))))</x:f>
        <x:v>非本次棧板儲位分析對象</x:v>
      </x:c>
    </x:row>
    <x:row r="171">
      <x:c r="A171" s="24" t="str">
        <x:f>'500件商品'!A171</x:f>
        <x:v>PX0167</x:v>
      </x:c>
      <x:c r="B171" s="24" t="str">
        <x:f>'500件商品'!B171</x:f>
        <x:v>中秋禮盒-小包裝</x:v>
      </x:c>
      <x:c r="C171" s="24" t="str">
        <x:f>'500件商品'!D171</x:f>
        <x:v>Cluster 4</x:v>
      </x:c>
      <x:c r="D171" s="26" t="n">
        <x:f>'500件商品'!F171</x:f>
        <x:v>19</x:v>
      </x:c>
      <x:c r="E171" s="24" t="str">
        <x:f>'500件商品'!K171</x:f>
        <x:v>是</x:v>
      </x:c>
      <x:c r="F171" s="24" t="str">
        <x:f>'500件商品'!L171</x:f>
        <x:v>1-2月</x:v>
      </x:c>
      <x:c r="G171" s="28" t="n">
        <x:f>'500件商品'!M171</x:f>
        <x:v>3</x:v>
      </x:c>
      <x:c r="H171" s="24" t="str">
        <x:f>'500件商品'!P171</x:f>
        <x:v>是</x:v>
      </x:c>
      <x:c r="I171" s="26" t="n">
        <x:f>'500件商品'!N171</x:f>
        <x:v>178</x:v>
      </x:c>
      <x:c r="J171" s="26" t="n">
        <x:f>'500件商品'!O171</x:f>
        <x:v>24</x:v>
      </x:c>
      <x:c r="K171" s="26" t="n">
        <x:f>IF(H171="是",CEILING(I171/J171,1),0)</x:f>
        <x:v>8</x:v>
      </x:c>
      <x:c r="L171" s="26" t="n">
        <x:f>ROUND(I171*G171,0)</x:f>
        <x:v>534</x:v>
      </x:c>
      <x:c r="M171" s="26" t="n">
        <x:f>IF(H171="是",CEILING(L171/J171,1),0)</x:f>
        <x:v>23</x:v>
      </x:c>
      <x:c r="N171" s="26" t="n">
        <x:f>M171-K171</x:f>
        <x:v>15</x:v>
      </x:c>
      <x:c r="O171" s="24" t="str">
        <x:f>'500件商品'!Q171</x:f>
        <x:v>彈性區</x:v>
      </x:c>
      <x:c r="P171" s="26" t="n">
        <x:f>'500件商品'!R171</x:f>
        <x:v>46</x:v>
      </x:c>
      <x:c r="Q171" s="24" t="str">
        <x:f>IF(H171="否","非棧板管理",IF(AND(E171="是",N171&gt;0),"季節彈性前移區",IF(OR(C171="Cluster 3",D171&gt;=55),"近端低層棧板區",IF(C171="Cluster 2","中段大貨位",IF(C171="Cluster 4","遠端彈性儲位","中段棧板區")))))</x:f>
        <x:v>季節彈性前移區</x:v>
      </x:c>
      <x:c r="R171" s="24" t="str">
        <x:f>IF(AND(H171="是",E171="是",N171&gt;0),"是","否")</x:f>
        <x:v>是</x:v>
      </x:c>
      <x:c r="S171" s="24" t="str">
        <x:f>IF(H171="否","非本次棧板儲位分析對象",IF(R171="是","旺季前需前移並增加棧板位",IF(N171&gt;0,"需增加棧板位",IF(N171&lt;0,"可釋放部分棧板位","維持現況"))))</x:f>
        <x:v>旺季前需前移並增加棧板位</x:v>
      </x:c>
    </x:row>
    <x:row r="172">
      <x:c r="A172" s="24" t="str">
        <x:f>'500件商品'!A172</x:f>
        <x:v>PX0168</x:v>
      </x:c>
      <x:c r="B172" s="24" t="str">
        <x:f>'500件商品'!B172</x:f>
        <x:v>牙刷組-標準箱</x:v>
      </x:c>
      <x:c r="C172" s="24" t="str">
        <x:f>'500件商品'!D172</x:f>
        <x:v>Cluster 5</x:v>
      </x:c>
      <x:c r="D172" s="26" t="n">
        <x:f>'500件商品'!F172</x:f>
        <x:v>43</x:v>
      </x:c>
      <x:c r="E172" s="24" t="str">
        <x:f>'500件商品'!K172</x:f>
        <x:v>否</x:v>
      </x:c>
      <x:c r="F172" s="24" t="str">
        <x:f>'500件商品'!L172</x:f>
      </x:c>
      <x:c r="G172" s="28" t="n">
        <x:f>'500件商品'!M172</x:f>
        <x:v>1</x:v>
      </x:c>
      <x:c r="H172" s="24" t="str">
        <x:f>'500件商品'!P172</x:f>
        <x:v>是</x:v>
      </x:c>
      <x:c r="I172" s="26" t="n">
        <x:f>'500件商品'!N172</x:f>
        <x:v>150</x:v>
      </x:c>
      <x:c r="J172" s="26" t="n">
        <x:f>'500件商品'!O172</x:f>
        <x:v>80</x:v>
      </x:c>
      <x:c r="K172" s="26" t="n">
        <x:f>IF(H172="是",CEILING(I172/J172,1),0)</x:f>
        <x:v>2</x:v>
      </x:c>
      <x:c r="L172" s="26" t="n">
        <x:f>ROUND(I172*G172,0)</x:f>
        <x:v>150</x:v>
      </x:c>
      <x:c r="M172" s="26" t="n">
        <x:f>IF(H172="是",CEILING(L172/J172,1),0)</x:f>
        <x:v>2</x:v>
      </x:c>
      <x:c r="N172" s="26" t="n">
        <x:f>M172-K172</x:f>
        <x:v>0</x:v>
      </x:c>
      <x:c r="O172" s="24" t="str">
        <x:f>'500件商品'!Q172</x:f>
        <x:v>A區</x:v>
      </x:c>
      <x:c r="P172" s="26" t="n">
        <x:f>'500件商品'!R172</x:f>
        <x:v>38</x:v>
      </x:c>
      <x:c r="Q172" s="24" t="str">
        <x:f>IF(H172="否","非棧板管理",IF(AND(E172="是",N172&gt;0),"季節彈性前移區",IF(OR(C172="Cluster 3",D172&gt;=55),"近端低層棧板區",IF(C172="Cluster 2","中段大貨位",IF(C172="Cluster 4","遠端彈性儲位","中段棧板區")))))</x:f>
        <x:v>中段棧板區</x:v>
      </x:c>
      <x:c r="R172" s="24" t="str">
        <x:f>IF(AND(H172="是",E172="是",N172&gt;0),"是","否")</x:f>
        <x:v>否</x:v>
      </x:c>
      <x:c r="S172" s="24" t="str">
        <x:f>IF(H172="否","非本次棧板儲位分析對象",IF(R172="是","旺季前需前移並增加棧板位",IF(N172&gt;0,"需增加棧板位",IF(N172&lt;0,"可釋放部分棧板位","維持現況"))))</x:f>
        <x:v>維持現況</x:v>
      </x:c>
    </x:row>
    <x:row r="173">
      <x:c r="A173" s="24" t="str">
        <x:f>'500件商品'!A173</x:f>
        <x:v>PX0169</x:v>
      </x:c>
      <x:c r="B173" s="24" t="str">
        <x:f>'500件商品'!B173</x:f>
        <x:v>年節禮盒組-標準箱</x:v>
      </x:c>
      <x:c r="C173" s="24" t="str">
        <x:f>'500件商品'!D173</x:f>
        <x:v>Cluster 4</x:v>
      </x:c>
      <x:c r="D173" s="26" t="n">
        <x:f>'500件商品'!F173</x:f>
        <x:v>18</x:v>
      </x:c>
      <x:c r="E173" s="24" t="str">
        <x:f>'500件商品'!K173</x:f>
        <x:v>是</x:v>
      </x:c>
      <x:c r="F173" s="24" t="str">
        <x:f>'500件商品'!L173</x:f>
        <x:v>1-2月</x:v>
      </x:c>
      <x:c r="G173" s="28" t="n">
        <x:f>'500件商品'!M173</x:f>
        <x:v>1.8</x:v>
      </x:c>
      <x:c r="H173" s="24" t="str">
        <x:f>'500件商品'!P173</x:f>
        <x:v>是</x:v>
      </x:c>
      <x:c r="I173" s="26" t="n">
        <x:f>'500件商品'!N173</x:f>
        <x:v>105</x:v>
      </x:c>
      <x:c r="J173" s="26" t="n">
        <x:f>'500件商品'!O173</x:f>
        <x:v>18</x:v>
      </x:c>
      <x:c r="K173" s="26" t="n">
        <x:f>IF(H173="是",CEILING(I173/J173,1),0)</x:f>
        <x:v>6</x:v>
      </x:c>
      <x:c r="L173" s="26" t="n">
        <x:f>ROUND(I173*G173,0)</x:f>
        <x:v>189</x:v>
      </x:c>
      <x:c r="M173" s="26" t="n">
        <x:f>IF(H173="是",CEILING(L173/J173,1),0)</x:f>
        <x:v>11</x:v>
      </x:c>
      <x:c r="N173" s="26" t="n">
        <x:f>M173-K173</x:f>
        <x:v>5</x:v>
      </x:c>
      <x:c r="O173" s="24" t="str">
        <x:f>'500件商品'!Q173</x:f>
        <x:v>K區</x:v>
      </x:c>
      <x:c r="P173" s="26" t="n">
        <x:f>'500件商品'!R173</x:f>
        <x:v>60</x:v>
      </x:c>
      <x:c r="Q173" s="24" t="str">
        <x:f>IF(H173="否","非棧板管理",IF(AND(E173="是",N173&gt;0),"季節彈性前移區",IF(OR(C173="Cluster 3",D173&gt;=55),"近端低層棧板區",IF(C173="Cluster 2","中段大貨位",IF(C173="Cluster 4","遠端彈性儲位","中段棧板區")))))</x:f>
        <x:v>季節彈性前移區</x:v>
      </x:c>
      <x:c r="R173" s="24" t="str">
        <x:f>IF(AND(H173="是",E173="是",N173&gt;0),"是","否")</x:f>
        <x:v>是</x:v>
      </x:c>
      <x:c r="S173" s="24" t="str">
        <x:f>IF(H173="否","非本次棧板儲位分析對象",IF(R173="是","旺季前需前移並增加棧板位",IF(N173&gt;0,"需增加棧板位",IF(N173&lt;0,"可釋放部分棧板位","維持現況"))))</x:f>
        <x:v>旺季前需前移並增加棧板位</x:v>
      </x:c>
    </x:row>
    <x:row r="174">
      <x:c r="A174" s="24" t="str">
        <x:f>'500件商品'!A174</x:f>
        <x:v>PX0170</x:v>
      </x:c>
      <x:c r="B174" s="24" t="str">
        <x:f>'500件商品'!B174</x:f>
        <x:v>寵物尿布墊-標準箱</x:v>
      </x:c>
      <x:c r="C174" s="24" t="str">
        <x:f>'500件商品'!D174</x:f>
        <x:v>Cluster 2</x:v>
      </x:c>
      <x:c r="D174" s="26" t="n">
        <x:f>'500件商品'!F174</x:f>
        <x:v>39</x:v>
      </x:c>
      <x:c r="E174" s="24" t="str">
        <x:f>'500件商品'!K174</x:f>
        <x:v>否</x:v>
      </x:c>
      <x:c r="F174" s="24" t="str">
        <x:f>'500件商品'!L174</x:f>
      </x:c>
      <x:c r="G174" s="28" t="n">
        <x:f>'500件商品'!M174</x:f>
        <x:v>1</x:v>
      </x:c>
      <x:c r="H174" s="24" t="str">
        <x:f>'500件商品'!P174</x:f>
        <x:v>是</x:v>
      </x:c>
      <x:c r="I174" s="26" t="n">
        <x:f>'500件商品'!N174</x:f>
        <x:v>179</x:v>
      </x:c>
      <x:c r="J174" s="26" t="n">
        <x:f>'500件商品'!O174</x:f>
        <x:v>30</x:v>
      </x:c>
      <x:c r="K174" s="26" t="n">
        <x:f>IF(H174="是",CEILING(I174/J174,1),0)</x:f>
        <x:v>6</x:v>
      </x:c>
      <x:c r="L174" s="26" t="n">
        <x:f>ROUND(I174*G174,0)</x:f>
        <x:v>179</x:v>
      </x:c>
      <x:c r="M174" s="26" t="n">
        <x:f>IF(H174="是",CEILING(L174/J174,1),0)</x:f>
        <x:v>6</x:v>
      </x:c>
      <x:c r="N174" s="26" t="n">
        <x:f>M174-K174</x:f>
        <x:v>0</x:v>
      </x:c>
      <x:c r="O174" s="24" t="str">
        <x:f>'500件商品'!Q174</x:f>
        <x:v>A區</x:v>
      </x:c>
      <x:c r="P174" s="26" t="n">
        <x:f>'500件商品'!R174</x:f>
        <x:v>20</x:v>
      </x:c>
      <x:c r="Q174" s="24" t="str">
        <x:f>IF(H174="否","非棧板管理",IF(AND(E174="是",N174&gt;0),"季節彈性前移區",IF(OR(C174="Cluster 3",D174&gt;=55),"近端低層棧板區",IF(C174="Cluster 2","中段大貨位",IF(C174="Cluster 4","遠端彈性儲位","中段棧板區")))))</x:f>
        <x:v>中段大貨位</x:v>
      </x:c>
      <x:c r="R174" s="24" t="str">
        <x:f>IF(AND(H174="是",E174="是",N174&gt;0),"是","否")</x:f>
        <x:v>否</x:v>
      </x:c>
      <x:c r="S174" s="24" t="str">
        <x:f>IF(H174="否","非本次棧板儲位分析對象",IF(R174="是","旺季前需前移並增加棧板位",IF(N174&gt;0,"需增加棧板位",IF(N174&lt;0,"可釋放部分棧板位","維持現況"))))</x:f>
        <x:v>維持現況</x:v>
      </x:c>
    </x:row>
    <x:row r="175">
      <x:c r="A175" s="24" t="str">
        <x:f>'500件商品'!A175</x:f>
        <x:v>PX0171</x:v>
      </x:c>
      <x:c r="B175" s="24" t="str">
        <x:f>'500件商品'!B175</x:f>
        <x:v>收納箱-小包裝</x:v>
      </x:c>
      <x:c r="C175" s="24" t="str">
        <x:f>'500件商品'!D175</x:f>
        <x:v>Cluster 2</x:v>
      </x:c>
      <x:c r="D175" s="26" t="n">
        <x:f>'500件商品'!F175</x:f>
        <x:v>62</x:v>
      </x:c>
      <x:c r="E175" s="24" t="str">
        <x:f>'500件商品'!K175</x:f>
        <x:v>否</x:v>
      </x:c>
      <x:c r="F175" s="24" t="str">
        <x:f>'500件商品'!L175</x:f>
      </x:c>
      <x:c r="G175" s="28" t="n">
        <x:f>'500件商品'!M175</x:f>
        <x:v>1.1</x:v>
      </x:c>
      <x:c r="H175" s="24" t="str">
        <x:f>'500件商品'!P175</x:f>
        <x:v>是</x:v>
      </x:c>
      <x:c r="I175" s="26" t="n">
        <x:f>'500件商品'!N175</x:f>
        <x:v>313</x:v>
      </x:c>
      <x:c r="J175" s="26" t="n">
        <x:f>'500件商品'!O175</x:f>
        <x:v>18</x:v>
      </x:c>
      <x:c r="K175" s="26" t="n">
        <x:f>IF(H175="是",CEILING(I175/J175,1),0)</x:f>
        <x:v>18</x:v>
      </x:c>
      <x:c r="L175" s="26" t="n">
        <x:f>ROUND(I175*G175,0)</x:f>
        <x:v>344</x:v>
      </x:c>
      <x:c r="M175" s="26" t="n">
        <x:f>IF(H175="是",CEILING(L175/J175,1),0)</x:f>
        <x:v>20</x:v>
      </x:c>
      <x:c r="N175" s="26" t="n">
        <x:f>M175-K175</x:f>
        <x:v>2</x:v>
      </x:c>
      <x:c r="O175" s="24" t="str">
        <x:f>'500件商品'!Q175</x:f>
        <x:v>3區</x:v>
      </x:c>
      <x:c r="P175" s="26" t="n">
        <x:f>'500件商品'!R175</x:f>
        <x:v>32</x:v>
      </x:c>
      <x:c r="Q175" s="24" t="str">
        <x:f>IF(H175="否","非棧板管理",IF(AND(E175="是",N175&gt;0),"季節彈性前移區",IF(OR(C175="Cluster 3",D175&gt;=55),"近端低層棧板區",IF(C175="Cluster 2","中段大貨位",IF(C175="Cluster 4","遠端彈性儲位","中段棧板區")))))</x:f>
        <x:v>近端低層棧板區</x:v>
      </x:c>
      <x:c r="R175" s="24" t="str">
        <x:f>IF(AND(H175="是",E175="是",N175&gt;0),"是","否")</x:f>
        <x:v>否</x:v>
      </x:c>
      <x:c r="S175" s="24" t="str">
        <x:f>IF(H175="否","非本次棧板儲位分析對象",IF(R175="是","旺季前需前移並增加棧板位",IF(N175&gt;0,"需增加棧板位",IF(N175&lt;0,"可釋放部分棧板位","維持現況"))))</x:f>
        <x:v>需增加棧板位</x:v>
      </x:c>
    </x:row>
    <x:row r="176">
      <x:c r="A176" s="24" t="str">
        <x:f>'500件商品'!A176</x:f>
        <x:v>PX0172</x:v>
      </x:c>
      <x:c r="B176" s="24" t="str">
        <x:f>'500件商品'!B176</x:f>
        <x:v>蛋捲禮盒-標準箱</x:v>
      </x:c>
      <x:c r="C176" s="24" t="str">
        <x:f>'500件商品'!D176</x:f>
        <x:v>Cluster 4</x:v>
      </x:c>
      <x:c r="D176" s="26" t="n">
        <x:f>'500件商品'!F176</x:f>
        <x:v>5</x:v>
      </x:c>
      <x:c r="E176" s="24" t="str">
        <x:f>'500件商品'!K176</x:f>
        <x:v>是</x:v>
      </x:c>
      <x:c r="F176" s="24" t="str">
        <x:f>'500件商品'!L176</x:f>
        <x:v>1-2月</x:v>
      </x:c>
      <x:c r="G176" s="28" t="n">
        <x:f>'500件商品'!M176</x:f>
        <x:v>2</x:v>
      </x:c>
      <x:c r="H176" s="24" t="str">
        <x:f>'500件商品'!P176</x:f>
        <x:v>是</x:v>
      </x:c>
      <x:c r="I176" s="26" t="n">
        <x:f>'500件商品'!N176</x:f>
        <x:v>78</x:v>
      </x:c>
      <x:c r="J176" s="26" t="n">
        <x:f>'500件商品'!O176</x:f>
        <x:v>20</x:v>
      </x:c>
      <x:c r="K176" s="26" t="n">
        <x:f>IF(H176="是",CEILING(I176/J176,1),0)</x:f>
        <x:v>4</x:v>
      </x:c>
      <x:c r="L176" s="26" t="n">
        <x:f>ROUND(I176*G176,0)</x:f>
        <x:v>156</x:v>
      </x:c>
      <x:c r="M176" s="26" t="n">
        <x:f>IF(H176="是",CEILING(L176/J176,1),0)</x:f>
        <x:v>8</x:v>
      </x:c>
      <x:c r="N176" s="26" t="n">
        <x:f>M176-K176</x:f>
        <x:v>4</x:v>
      </x:c>
      <x:c r="O176" s="24" t="str">
        <x:f>'500件商品'!Q176</x:f>
        <x:v>1區</x:v>
      </x:c>
      <x:c r="P176" s="26" t="n">
        <x:f>'500件商品'!R176</x:f>
        <x:v>27</x:v>
      </x:c>
      <x:c r="Q176" s="24" t="str">
        <x:f>IF(H176="否","非棧板管理",IF(AND(E176="是",N176&gt;0),"季節彈性前移區",IF(OR(C176="Cluster 3",D176&gt;=55),"近端低層棧板區",IF(C176="Cluster 2","中段大貨位",IF(C176="Cluster 4","遠端彈性儲位","中段棧板區")))))</x:f>
        <x:v>季節彈性前移區</x:v>
      </x:c>
      <x:c r="R176" s="24" t="str">
        <x:f>IF(AND(H176="是",E176="是",N176&gt;0),"是","否")</x:f>
        <x:v>是</x:v>
      </x:c>
      <x:c r="S176" s="24" t="str">
        <x:f>IF(H176="否","非本次棧板儲位分析對象",IF(R176="是","旺季前需前移並增加棧板位",IF(N176&gt;0,"需增加棧板位",IF(N176&lt;0,"可釋放部分棧板位","維持現況"))))</x:f>
        <x:v>旺季前需前移並增加棧板位</x:v>
      </x:c>
    </x:row>
    <x:row r="177">
      <x:c r="A177" s="24" t="str">
        <x:f>'500件商品'!A177</x:f>
        <x:v>PX0173</x:v>
      </x:c>
      <x:c r="B177" s="24" t="str">
        <x:f>'500件商品'!B177</x:f>
        <x:v>面紙箱-家庭號</x:v>
      </x:c>
      <x:c r="C177" s="24" t="str">
        <x:f>'500件商品'!D177</x:f>
        <x:v>Cluster 5</x:v>
      </x:c>
      <x:c r="D177" s="26" t="n">
        <x:f>'500件商品'!F177</x:f>
        <x:v>40</x:v>
      </x:c>
      <x:c r="E177" s="24" t="str">
        <x:f>'500件商品'!K177</x:f>
        <x:v>否</x:v>
      </x:c>
      <x:c r="F177" s="24" t="str">
        <x:f>'500件商品'!L177</x:f>
      </x:c>
      <x:c r="G177" s="28" t="n">
        <x:f>'500件商品'!M177</x:f>
        <x:v>1</x:v>
      </x:c>
      <x:c r="H177" s="24" t="str">
        <x:f>'500件商品'!P177</x:f>
        <x:v>是</x:v>
      </x:c>
      <x:c r="I177" s="26" t="n">
        <x:f>'500件商品'!N177</x:f>
        <x:v>187</x:v>
      </x:c>
      <x:c r="J177" s="26" t="n">
        <x:f>'500件商品'!O177</x:f>
        <x:v>80</x:v>
      </x:c>
      <x:c r="K177" s="26" t="n">
        <x:f>IF(H177="是",CEILING(I177/J177,1),0)</x:f>
        <x:v>3</x:v>
      </x:c>
      <x:c r="L177" s="26" t="n">
        <x:f>ROUND(I177*G177,0)</x:f>
        <x:v>187</x:v>
      </x:c>
      <x:c r="M177" s="26" t="n">
        <x:f>IF(H177="是",CEILING(L177/J177,1),0)</x:f>
        <x:v>3</x:v>
      </x:c>
      <x:c r="N177" s="26" t="n">
        <x:f>M177-K177</x:f>
        <x:v>0</x:v>
      </x:c>
      <x:c r="O177" s="24" t="str">
        <x:f>'500件商品'!Q177</x:f>
        <x:v>3區</x:v>
      </x:c>
      <x:c r="P177" s="26" t="n">
        <x:f>'500件商品'!R177</x:f>
        <x:v>37</x:v>
      </x:c>
      <x:c r="Q177" s="24" t="str">
        <x:f>IF(H177="否","非棧板管理",IF(AND(E177="是",N177&gt;0),"季節彈性前移區",IF(OR(C177="Cluster 3",D177&gt;=55),"近端低層棧板區",IF(C177="Cluster 2","中段大貨位",IF(C177="Cluster 4","遠端彈性儲位","中段棧板區")))))</x:f>
        <x:v>中段棧板區</x:v>
      </x:c>
      <x:c r="R177" s="24" t="str">
        <x:f>IF(AND(H177="是",E177="是",N177&gt;0),"是","否")</x:f>
        <x:v>否</x:v>
      </x:c>
      <x:c r="S177" s="24" t="str">
        <x:f>IF(H177="否","非本次棧板儲位分析對象",IF(R177="是","旺季前需前移並增加棧板位",IF(N177&gt;0,"需增加棧板位",IF(N177&lt;0,"可釋放部分棧板位","維持現況"))))</x:f>
        <x:v>維持現況</x:v>
      </x:c>
    </x:row>
    <x:row r="178">
      <x:c r="A178" s="24" t="str">
        <x:f>'500件商品'!A178</x:f>
        <x:v>PX0174</x:v>
      </x:c>
      <x:c r="B178" s="24" t="str">
        <x:f>'500件商品'!B178</x:f>
        <x:v>標籤紙卷-促銷組</x:v>
      </x:c>
      <x:c r="C178" s="24" t="str">
        <x:f>'500件商品'!D178</x:f>
        <x:v>Cluster 5</x:v>
      </x:c>
      <x:c r="D178" s="26" t="n">
        <x:f>'500件商品'!F178</x:f>
        <x:v>23</x:v>
      </x:c>
      <x:c r="E178" s="24" t="str">
        <x:f>'500件商品'!K178</x:f>
        <x:v>否</x:v>
      </x:c>
      <x:c r="F178" s="24" t="str">
        <x:f>'500件商品'!L178</x:f>
      </x:c>
      <x:c r="G178" s="28" t="n">
        <x:f>'500件商品'!M178</x:f>
        <x:v>1</x:v>
      </x:c>
      <x:c r="H178" s="24" t="str">
        <x:f>'500件商品'!P178</x:f>
        <x:v>否</x:v>
      </x:c>
      <x:c r="I178" s="26" t="n">
        <x:f>'500件商品'!N178</x:f>
        <x:v>86</x:v>
      </x:c>
      <x:c r="J178" s="26" t="str">
        <x:f>'500件商品'!O178</x:f>
      </x:c>
      <x:c r="K178" s="26" t="n">
        <x:f>IF(H178="是",CEILING(I178/J178,1),0)</x:f>
        <x:v>0</x:v>
      </x:c>
      <x:c r="L178" s="26" t="n">
        <x:f>ROUND(I178*G178,0)</x:f>
        <x:v>86</x:v>
      </x:c>
      <x:c r="M178" s="26" t="n">
        <x:f>IF(H178="是",CEILING(L178/J178,1),0)</x:f>
        <x:v>0</x:v>
      </x:c>
      <x:c r="N178" s="26" t="n">
        <x:f>M178-K178</x:f>
        <x:v>0</x:v>
      </x:c>
      <x:c r="O178" s="24" t="str">
        <x:f>'500件商品'!Q178</x:f>
        <x:v>3區</x:v>
      </x:c>
      <x:c r="P178" s="26" t="n">
        <x:f>'500件商品'!R178</x:f>
        <x:v>33</x:v>
      </x:c>
      <x:c r="Q178" s="24" t="str">
        <x:f>IF(H178="否","非棧板管理",IF(AND(E178="是",N178&gt;0),"季節彈性前移區",IF(OR(C178="Cluster 3",D178&gt;=55),"近端低層棧板區",IF(C178="Cluster 2","中段大貨位",IF(C178="Cluster 4","遠端彈性儲位","中段棧板區")))))</x:f>
        <x:v>非棧板管理</x:v>
      </x:c>
      <x:c r="R178" s="24" t="str">
        <x:f>IF(AND(H178="是",E178="是",N178&gt;0),"是","否")</x:f>
        <x:v>否</x:v>
      </x:c>
      <x:c r="S178" s="24" t="str">
        <x:f>IF(H178="否","非本次棧板儲位分析對象",IF(R178="是","旺季前需前移並增加棧板位",IF(N178&gt;0,"需增加棧板位",IF(N178&lt;0,"可釋放部分棧板位","維持現況"))))</x:f>
        <x:v>非本次棧板儲位分析對象</x:v>
      </x:c>
    </x:row>
    <x:row r="179">
      <x:c r="A179" s="24" t="str">
        <x:f>'500件商品'!A179</x:f>
        <x:v>PX0175</x:v>
      </x:c>
      <x:c r="B179" s="24" t="str">
        <x:f>'500件商品'!B179</x:f>
        <x:v>咖哩塊箱-標準箱</x:v>
      </x:c>
      <x:c r="C179" s="24" t="str">
        <x:f>'500件商品'!D179</x:f>
        <x:v>Cluster 2</x:v>
      </x:c>
      <x:c r="D179" s="26" t="n">
        <x:f>'500件商品'!F179</x:f>
        <x:v>45</x:v>
      </x:c>
      <x:c r="E179" s="24" t="str">
        <x:f>'500件商品'!K179</x:f>
        <x:v>否</x:v>
      </x:c>
      <x:c r="F179" s="24" t="str">
        <x:f>'500件商品'!L179</x:f>
      </x:c>
      <x:c r="G179" s="28" t="n">
        <x:f>'500件商品'!M179</x:f>
        <x:v>1.1</x:v>
      </x:c>
      <x:c r="H179" s="24" t="str">
        <x:f>'500件商品'!P179</x:f>
        <x:v>是</x:v>
      </x:c>
      <x:c r="I179" s="26" t="n">
        <x:f>'500件商品'!N179</x:f>
        <x:v>262</x:v>
      </x:c>
      <x:c r="J179" s="26" t="n">
        <x:f>'500件商品'!O179</x:f>
        <x:v>24</x:v>
      </x:c>
      <x:c r="K179" s="26" t="n">
        <x:f>IF(H179="是",CEILING(I179/J179,1),0)</x:f>
        <x:v>11</x:v>
      </x:c>
      <x:c r="L179" s="26" t="n">
        <x:f>ROUND(I179*G179,0)</x:f>
        <x:v>288</x:v>
      </x:c>
      <x:c r="M179" s="26" t="n">
        <x:f>IF(H179="是",CEILING(L179/J179,1),0)</x:f>
        <x:v>12</x:v>
      </x:c>
      <x:c r="N179" s="26" t="n">
        <x:f>M179-K179</x:f>
        <x:v>1</x:v>
      </x:c>
      <x:c r="O179" s="24" t="str">
        <x:f>'500件商品'!Q179</x:f>
        <x:v>3區</x:v>
      </x:c>
      <x:c r="P179" s="26" t="n">
        <x:f>'500件商品'!R179</x:f>
        <x:v>50</x:v>
      </x:c>
      <x:c r="Q179" s="24" t="str">
        <x:f>IF(H179="否","非棧板管理",IF(AND(E179="是",N179&gt;0),"季節彈性前移區",IF(OR(C179="Cluster 3",D179&gt;=55),"近端低層棧板區",IF(C179="Cluster 2","中段大貨位",IF(C179="Cluster 4","遠端彈性儲位","中段棧板區")))))</x:f>
        <x:v>中段大貨位</x:v>
      </x:c>
      <x:c r="R179" s="24" t="str">
        <x:f>IF(AND(H179="是",E179="是",N179&gt;0),"是","否")</x:f>
        <x:v>否</x:v>
      </x:c>
      <x:c r="S179" s="24" t="str">
        <x:f>IF(H179="否","非本次棧板儲位分析對象",IF(R179="是","旺季前需前移並增加棧板位",IF(N179&gt;0,"需增加棧板位",IF(N179&lt;0,"可釋放部分棧板位","維持現況"))))</x:f>
        <x:v>需增加棧板位</x:v>
      </x:c>
    </x:row>
    <x:row r="180">
      <x:c r="A180" s="24" t="str">
        <x:f>'500件商品'!A180</x:f>
        <x:v>PX0176</x:v>
      </x:c>
      <x:c r="B180" s="24" t="str">
        <x:f>'500件商品'!B180</x:f>
        <x:v>洗衣精補充包-家庭號</x:v>
      </x:c>
      <x:c r="C180" s="24" t="str">
        <x:f>'500件商品'!D180</x:f>
        <x:v>Cluster 1</x:v>
      </x:c>
      <x:c r="D180" s="26" t="n">
        <x:f>'500件商品'!F180</x:f>
        <x:v>31</x:v>
      </x:c>
      <x:c r="E180" s="24" t="str">
        <x:f>'500件商品'!K180</x:f>
        <x:v>否</x:v>
      </x:c>
      <x:c r="F180" s="24" t="str">
        <x:f>'500件商品'!L180</x:f>
      </x:c>
      <x:c r="G180" s="28" t="n">
        <x:f>'500件商品'!M180</x:f>
        <x:v>1.1</x:v>
      </x:c>
      <x:c r="H180" s="24" t="str">
        <x:f>'500件商品'!P180</x:f>
        <x:v>是</x:v>
      </x:c>
      <x:c r="I180" s="26" t="n">
        <x:f>'500件商品'!N180</x:f>
        <x:v>246</x:v>
      </x:c>
      <x:c r="J180" s="26" t="n">
        <x:f>'500件商品'!O180</x:f>
        <x:v>72</x:v>
      </x:c>
      <x:c r="K180" s="26" t="n">
        <x:f>IF(H180="是",CEILING(I180/J180,1),0)</x:f>
        <x:v>4</x:v>
      </x:c>
      <x:c r="L180" s="26" t="n">
        <x:f>ROUND(I180*G180,0)</x:f>
        <x:v>271</x:v>
      </x:c>
      <x:c r="M180" s="26" t="n">
        <x:f>IF(H180="是",CEILING(L180/J180,1),0)</x:f>
        <x:v>4</x:v>
      </x:c>
      <x:c r="N180" s="26" t="n">
        <x:f>M180-K180</x:f>
        <x:v>0</x:v>
      </x:c>
      <x:c r="O180" s="24" t="str">
        <x:f>'500件商品'!Q180</x:f>
        <x:v>3區</x:v>
      </x:c>
      <x:c r="P180" s="26" t="n">
        <x:f>'500件商品'!R180</x:f>
        <x:v>34</x:v>
      </x:c>
      <x:c r="Q180" s="24" t="str">
        <x:f>IF(H180="否","非棧板管理",IF(AND(E180="是",N180&gt;0),"季節彈性前移區",IF(OR(C180="Cluster 3",D180&gt;=55),"近端低層棧板區",IF(C180="Cluster 2","中段大貨位",IF(C180="Cluster 4","遠端彈性儲位","中段棧板區")))))</x:f>
        <x:v>中段棧板區</x:v>
      </x:c>
      <x:c r="R180" s="24" t="str">
        <x:f>IF(AND(H180="是",E180="是",N180&gt;0),"是","否")</x:f>
        <x:v>否</x:v>
      </x:c>
      <x:c r="S180" s="24" t="str">
        <x:f>IF(H180="否","非本次棧板儲位分析對象",IF(R180="是","旺季前需前移並增加棧板位",IF(N180&gt;0,"需增加棧板位",IF(N180&lt;0,"可釋放部分棧板位","維持現況"))))</x:f>
        <x:v>維持現況</x:v>
      </x:c>
    </x:row>
    <x:row r="181">
      <x:c r="A181" s="24" t="str">
        <x:f>'500件商品'!A181</x:f>
        <x:v>PX0177</x:v>
      </x:c>
      <x:c r="B181" s="24" t="str">
        <x:f>'500件商品'!B181</x:f>
        <x:v>成人紙尿褲-小包裝</x:v>
      </x:c>
      <x:c r="C181" s="24" t="str">
        <x:f>'500件商品'!D181</x:f>
        <x:v>Cluster 2</x:v>
      </x:c>
      <x:c r="D181" s="26" t="n">
        <x:f>'500件商品'!F181</x:f>
        <x:v>6</x:v>
      </x:c>
      <x:c r="E181" s="24" t="str">
        <x:f>'500件商品'!K181</x:f>
        <x:v>否</x:v>
      </x:c>
      <x:c r="F181" s="24" t="str">
        <x:f>'500件商品'!L181</x:f>
      </x:c>
      <x:c r="G181" s="28" t="n">
        <x:f>'500件商品'!M181</x:f>
        <x:v>1</x:v>
      </x:c>
      <x:c r="H181" s="24" t="str">
        <x:f>'500件商品'!P181</x:f>
        <x:v>是</x:v>
      </x:c>
      <x:c r="I181" s="26" t="n">
        <x:f>'500件商品'!N181</x:f>
        <x:v>56</x:v>
      </x:c>
      <x:c r="J181" s="26" t="n">
        <x:f>'500件商品'!O181</x:f>
        <x:v>30</x:v>
      </x:c>
      <x:c r="K181" s="26" t="n">
        <x:f>IF(H181="是",CEILING(I181/J181,1),0)</x:f>
        <x:v>2</x:v>
      </x:c>
      <x:c r="L181" s="26" t="n">
        <x:f>ROUND(I181*G181,0)</x:f>
        <x:v>56</x:v>
      </x:c>
      <x:c r="M181" s="26" t="n">
        <x:f>IF(H181="是",CEILING(L181/J181,1),0)</x:f>
        <x:v>2</x:v>
      </x:c>
      <x:c r="N181" s="26" t="n">
        <x:f>M181-K181</x:f>
        <x:v>0</x:v>
      </x:c>
      <x:c r="O181" s="24" t="str">
        <x:f>'500件商品'!Q181</x:f>
        <x:v>3區</x:v>
      </x:c>
      <x:c r="P181" s="26" t="n">
        <x:f>'500件商品'!R181</x:f>
        <x:v>44</x:v>
      </x:c>
      <x:c r="Q181" s="24" t="str">
        <x:f>IF(H181="否","非棧板管理",IF(AND(E181="是",N181&gt;0),"季節彈性前移區",IF(OR(C181="Cluster 3",D181&gt;=55),"近端低層棧板區",IF(C181="Cluster 2","中段大貨位",IF(C181="Cluster 4","遠端彈性儲位","中段棧板區")))))</x:f>
        <x:v>中段大貨位</x:v>
      </x:c>
      <x:c r="R181" s="24" t="str">
        <x:f>IF(AND(H181="是",E181="是",N181&gt;0),"是","否")</x:f>
        <x:v>否</x:v>
      </x:c>
      <x:c r="S181" s="24" t="str">
        <x:f>IF(H181="否","非本次棧板儲位分析對象",IF(R181="是","旺季前需前移並增加棧板位",IF(N181&gt;0,"需增加棧板位",IF(N181&lt;0,"可釋放部分棧板位","維持現況"))))</x:f>
        <x:v>維持現況</x:v>
      </x:c>
    </x:row>
    <x:row r="182">
      <x:c r="A182" s="24" t="str">
        <x:f>'500件商品'!A182</x:f>
        <x:v>PX0178</x:v>
      </x:c>
      <x:c r="B182" s="24" t="str">
        <x:f>'500件商品'!B182</x:f>
        <x:v>餅乾箱-小包裝</x:v>
      </x:c>
      <x:c r="C182" s="24" t="str">
        <x:f>'500件商品'!D182</x:f>
        <x:v>Cluster 5</x:v>
      </x:c>
      <x:c r="D182" s="26" t="n">
        <x:f>'500件商品'!F182</x:f>
        <x:v>12</x:v>
      </x:c>
      <x:c r="E182" s="24" t="str">
        <x:f>'500件商品'!K182</x:f>
        <x:v>否</x:v>
      </x:c>
      <x:c r="F182" s="24" t="str">
        <x:f>'500件商品'!L182</x:f>
      </x:c>
      <x:c r="G182" s="28" t="n">
        <x:f>'500件商品'!M182</x:f>
        <x:v>1</x:v>
      </x:c>
      <x:c r="H182" s="24" t="str">
        <x:f>'500件商品'!P182</x:f>
        <x:v>否</x:v>
      </x:c>
      <x:c r="I182" s="26" t="n">
        <x:f>'500件商品'!N182</x:f>
        <x:v>70</x:v>
      </x:c>
      <x:c r="J182" s="26" t="str">
        <x:f>'500件商品'!O182</x:f>
      </x:c>
      <x:c r="K182" s="26" t="n">
        <x:f>IF(H182="是",CEILING(I182/J182,1),0)</x:f>
        <x:v>0</x:v>
      </x:c>
      <x:c r="L182" s="26" t="n">
        <x:f>ROUND(I182*G182,0)</x:f>
        <x:v>70</x:v>
      </x:c>
      <x:c r="M182" s="26" t="n">
        <x:f>IF(H182="是",CEILING(L182/J182,1),0)</x:f>
        <x:v>0</x:v>
      </x:c>
      <x:c r="N182" s="26" t="n">
        <x:f>M182-K182</x:f>
        <x:v>0</x:v>
      </x:c>
      <x:c r="O182" s="24" t="str">
        <x:f>'500件商品'!Q182</x:f>
        <x:v>3區</x:v>
      </x:c>
      <x:c r="P182" s="26" t="n">
        <x:f>'500件商品'!R182</x:f>
        <x:v>40</x:v>
      </x:c>
      <x:c r="Q182" s="24" t="str">
        <x:f>IF(H182="否","非棧板管理",IF(AND(E182="是",N182&gt;0),"季節彈性前移區",IF(OR(C182="Cluster 3",D182&gt;=55),"近端低層棧板區",IF(C182="Cluster 2","中段大貨位",IF(C182="Cluster 4","遠端彈性儲位","中段棧板區")))))</x:f>
        <x:v>非棧板管理</x:v>
      </x:c>
      <x:c r="R182" s="24" t="str">
        <x:f>IF(AND(H182="是",E182="是",N182&gt;0),"是","否")</x:f>
        <x:v>否</x:v>
      </x:c>
      <x:c r="S182" s="24" t="str">
        <x:f>IF(H182="否","非本次棧板儲位分析對象",IF(R182="是","旺季前需前移並增加棧板位",IF(N182&gt;0,"需增加棧板位",IF(N182&lt;0,"可釋放部分棧板位","維持現況"))))</x:f>
        <x:v>非本次棧板儲位分析對象</x:v>
      </x:c>
    </x:row>
    <x:row r="183">
      <x:c r="A183" s="24" t="str">
        <x:f>'500件商品'!A183</x:f>
        <x:v>PX0179</x:v>
      </x:c>
      <x:c r="B183" s="24" t="str">
        <x:f>'500件商品'!B183</x:f>
        <x:v>寵物尿布墊-標準箱</x:v>
      </x:c>
      <x:c r="C183" s="24" t="str">
        <x:f>'500件商品'!D183</x:f>
        <x:v>Cluster 2</x:v>
      </x:c>
      <x:c r="D183" s="26" t="n">
        <x:f>'500件商品'!F183</x:f>
        <x:v>27</x:v>
      </x:c>
      <x:c r="E183" s="24" t="str">
        <x:f>'500件商品'!K183</x:f>
        <x:v>否</x:v>
      </x:c>
      <x:c r="F183" s="24" t="str">
        <x:f>'500件商品'!L183</x:f>
      </x:c>
      <x:c r="G183" s="28" t="n">
        <x:f>'500件商品'!M183</x:f>
        <x:v>1</x:v>
      </x:c>
      <x:c r="H183" s="24" t="str">
        <x:f>'500件商品'!P183</x:f>
        <x:v>是</x:v>
      </x:c>
      <x:c r="I183" s="26" t="n">
        <x:f>'500件商品'!N183</x:f>
        <x:v>99</x:v>
      </x:c>
      <x:c r="J183" s="26" t="n">
        <x:f>'500件商品'!O183</x:f>
        <x:v>24</x:v>
      </x:c>
      <x:c r="K183" s="26" t="n">
        <x:f>IF(H183="是",CEILING(I183/J183,1),0)</x:f>
        <x:v>5</x:v>
      </x:c>
      <x:c r="L183" s="26" t="n">
        <x:f>ROUND(I183*G183,0)</x:f>
        <x:v>99</x:v>
      </x:c>
      <x:c r="M183" s="26" t="n">
        <x:f>IF(H183="是",CEILING(L183/J183,1),0)</x:f>
        <x:v>5</x:v>
      </x:c>
      <x:c r="N183" s="26" t="n">
        <x:f>M183-K183</x:f>
        <x:v>0</x:v>
      </x:c>
      <x:c r="O183" s="24" t="str">
        <x:f>'500件商品'!Q183</x:f>
        <x:v>A區</x:v>
      </x:c>
      <x:c r="P183" s="26" t="n">
        <x:f>'500件商品'!R183</x:f>
        <x:v>34</x:v>
      </x:c>
      <x:c r="Q183" s="24" t="str">
        <x:f>IF(H183="否","非棧板管理",IF(AND(E183="是",N183&gt;0),"季節彈性前移區",IF(OR(C183="Cluster 3",D183&gt;=55),"近端低層棧板區",IF(C183="Cluster 2","中段大貨位",IF(C183="Cluster 4","遠端彈性儲位","中段棧板區")))))</x:f>
        <x:v>中段大貨位</x:v>
      </x:c>
      <x:c r="R183" s="24" t="str">
        <x:f>IF(AND(H183="是",E183="是",N183&gt;0),"是","否")</x:f>
        <x:v>否</x:v>
      </x:c>
      <x:c r="S183" s="24" t="str">
        <x:f>IF(H183="否","非本次棧板儲位分析對象",IF(R183="是","旺季前需前移並增加棧板位",IF(N183&gt;0,"需增加棧板位",IF(N183&lt;0,"可釋放部分棧板位","維持現況"))))</x:f>
        <x:v>維持現況</x:v>
      </x:c>
    </x:row>
    <x:row r="184">
      <x:c r="A184" s="24" t="str">
        <x:f>'500件商品'!A184</x:f>
        <x:v>PX0180</x:v>
      </x:c>
      <x:c r="B184" s="24" t="str">
        <x:f>'500件商品'!B184</x:f>
        <x:v>麥片箱-箱裝</x:v>
      </x:c>
      <x:c r="C184" s="24" t="str">
        <x:f>'500件商品'!D184</x:f>
        <x:v>Cluster 4</x:v>
      </x:c>
      <x:c r="D184" s="26" t="n">
        <x:f>'500件商品'!F184</x:f>
        <x:v>81</x:v>
      </x:c>
      <x:c r="E184" s="24" t="str">
        <x:f>'500件商品'!K184</x:f>
        <x:v>是</x:v>
      </x:c>
      <x:c r="F184" s="24" t="str">
        <x:f>'500件商品'!L184</x:f>
        <x:v>旺季</x:v>
      </x:c>
      <x:c r="G184" s="28" t="n">
        <x:f>'500件商品'!M184</x:f>
        <x:v>3</x:v>
      </x:c>
      <x:c r="H184" s="24" t="str">
        <x:f>'500件商品'!P184</x:f>
        <x:v>是</x:v>
      </x:c>
      <x:c r="I184" s="26" t="n">
        <x:f>'500件商品'!N184</x:f>
        <x:v>565</x:v>
      </x:c>
      <x:c r="J184" s="26" t="n">
        <x:f>'500件商品'!O184</x:f>
        <x:v>60</x:v>
      </x:c>
      <x:c r="K184" s="26" t="n">
        <x:f>IF(H184="是",CEILING(I184/J184,1),0)</x:f>
        <x:v>10</x:v>
      </x:c>
      <x:c r="L184" s="26" t="n">
        <x:f>ROUND(I184*G184,0)</x:f>
        <x:v>1695</x:v>
      </x:c>
      <x:c r="M184" s="26" t="n">
        <x:f>IF(H184="是",CEILING(L184/J184,1),0)</x:f>
        <x:v>29</x:v>
      </x:c>
      <x:c r="N184" s="26" t="n">
        <x:f>M184-K184</x:f>
        <x:v>19</x:v>
      </x:c>
      <x:c r="O184" s="24" t="str">
        <x:f>'500件商品'!Q184</x:f>
        <x:v>3區</x:v>
      </x:c>
      <x:c r="P184" s="26" t="n">
        <x:f>'500件商品'!R184</x:f>
        <x:v>48</x:v>
      </x:c>
      <x:c r="Q184" s="24" t="str">
        <x:f>IF(H184="否","非棧板管理",IF(AND(E184="是",N184&gt;0),"季節彈性前移區",IF(OR(C184="Cluster 3",D184&gt;=55),"近端低層棧板區",IF(C184="Cluster 2","中段大貨位",IF(C184="Cluster 4","遠端彈性儲位","中段棧板區")))))</x:f>
        <x:v>季節彈性前移區</x:v>
      </x:c>
      <x:c r="R184" s="24" t="str">
        <x:f>IF(AND(H184="是",E184="是",N184&gt;0),"是","否")</x:f>
        <x:v>是</x:v>
      </x:c>
      <x:c r="S184" s="24" t="str">
        <x:f>IF(H184="否","非本次棧板儲位分析對象",IF(R184="是","旺季前需前移並增加棧板位",IF(N184&gt;0,"需增加棧板位",IF(N184&lt;0,"可釋放部分棧板位","維持現況"))))</x:f>
        <x:v>旺季前需前移並增加棧板位</x:v>
      </x:c>
    </x:row>
    <x:row r="185">
      <x:c r="A185" s="24" t="str">
        <x:f>'500件商品'!A185</x:f>
        <x:v>PX0181</x:v>
      </x:c>
      <x:c r="B185" s="24" t="str">
        <x:f>'500件商品'!B185</x:f>
        <x:v>餐巾紙箱-小包裝</x:v>
      </x:c>
      <x:c r="C185" s="24" t="str">
        <x:f>'500件商品'!D185</x:f>
        <x:v>Cluster 5</x:v>
      </x:c>
      <x:c r="D185" s="26" t="n">
        <x:f>'500件商品'!F185</x:f>
        <x:v>30</x:v>
      </x:c>
      <x:c r="E185" s="24" t="str">
        <x:f>'500件商品'!K185</x:f>
        <x:v>否</x:v>
      </x:c>
      <x:c r="F185" s="24" t="str">
        <x:f>'500件商品'!L185</x:f>
      </x:c>
      <x:c r="G185" s="28" t="n">
        <x:f>'500件商品'!M185</x:f>
        <x:v>1</x:v>
      </x:c>
      <x:c r="H185" s="24" t="str">
        <x:f>'500件商品'!P185</x:f>
        <x:v>否</x:v>
      </x:c>
      <x:c r="I185" s="26" t="n">
        <x:f>'500件商品'!N185</x:f>
        <x:v>128</x:v>
      </x:c>
      <x:c r="J185" s="26" t="str">
        <x:f>'500件商品'!O185</x:f>
      </x:c>
      <x:c r="K185" s="26" t="n">
        <x:f>IF(H185="是",CEILING(I185/J185,1),0)</x:f>
        <x:v>0</x:v>
      </x:c>
      <x:c r="L185" s="26" t="n">
        <x:f>ROUND(I185*G185,0)</x:f>
        <x:v>128</x:v>
      </x:c>
      <x:c r="M185" s="26" t="n">
        <x:f>IF(H185="是",CEILING(L185/J185,1),0)</x:f>
        <x:v>0</x:v>
      </x:c>
      <x:c r="N185" s="26" t="n">
        <x:f>M185-K185</x:f>
        <x:v>0</x:v>
      </x:c>
      <x:c r="O185" s="24" t="str">
        <x:f>'500件商品'!Q185</x:f>
        <x:v>A區</x:v>
      </x:c>
      <x:c r="P185" s="26" t="n">
        <x:f>'500件商品'!R185</x:f>
        <x:v>19</x:v>
      </x:c>
      <x:c r="Q185" s="24" t="str">
        <x:f>IF(H185="否","非棧板管理",IF(AND(E185="是",N185&gt;0),"季節彈性前移區",IF(OR(C185="Cluster 3",D185&gt;=55),"近端低層棧板區",IF(C185="Cluster 2","中段大貨位",IF(C185="Cluster 4","遠端彈性儲位","中段棧板區")))))</x:f>
        <x:v>非棧板管理</x:v>
      </x:c>
      <x:c r="R185" s="24" t="str">
        <x:f>IF(AND(H185="是",E185="是",N185&gt;0),"是","否")</x:f>
        <x:v>否</x:v>
      </x:c>
      <x:c r="S185" s="24" t="str">
        <x:f>IF(H185="否","非本次棧板儲位分析對象",IF(R185="是","旺季前需前移並增加棧板位",IF(N185&gt;0,"需增加棧板位",IF(N185&lt;0,"可釋放部分棧板位","維持現況"))))</x:f>
        <x:v>非本次棧板儲位分析對象</x:v>
      </x:c>
    </x:row>
    <x:row r="186">
      <x:c r="A186" s="24" t="str">
        <x:f>'500件商品'!A186</x:f>
        <x:v>PX0182</x:v>
      </x:c>
      <x:c r="B186" s="24" t="str">
        <x:f>'500件商品'!B186</x:f>
        <x:v>漂白水-箱裝</x:v>
      </x:c>
      <x:c r="C186" s="24" t="str">
        <x:f>'500件商品'!D186</x:f>
        <x:v>Cluster 2</x:v>
      </x:c>
      <x:c r="D186" s="26" t="n">
        <x:f>'500件商品'!F186</x:f>
        <x:v>36</x:v>
      </x:c>
      <x:c r="E186" s="24" t="str">
        <x:f>'500件商品'!K186</x:f>
        <x:v>否</x:v>
      </x:c>
      <x:c r="F186" s="24" t="str">
        <x:f>'500件商品'!L186</x:f>
      </x:c>
      <x:c r="G186" s="28" t="n">
        <x:f>'500件商品'!M186</x:f>
        <x:v>1.2</x:v>
      </x:c>
      <x:c r="H186" s="24" t="str">
        <x:f>'500件商品'!P186</x:f>
        <x:v>是</x:v>
      </x:c>
      <x:c r="I186" s="26" t="n">
        <x:f>'500件商品'!N186</x:f>
        <x:v>171</x:v>
      </x:c>
      <x:c r="J186" s="26" t="n">
        <x:f>'500件商品'!O186</x:f>
        <x:v>32</x:v>
      </x:c>
      <x:c r="K186" s="26" t="n">
        <x:f>IF(H186="是",CEILING(I186/J186,1),0)</x:f>
        <x:v>6</x:v>
      </x:c>
      <x:c r="L186" s="26" t="n">
        <x:f>ROUND(I186*G186,0)</x:f>
        <x:v>205</x:v>
      </x:c>
      <x:c r="M186" s="26" t="n">
        <x:f>IF(H186="是",CEILING(L186/J186,1),0)</x:f>
        <x:v>7</x:v>
      </x:c>
      <x:c r="N186" s="26" t="n">
        <x:f>M186-K186</x:f>
        <x:v>1</x:v>
      </x:c>
      <x:c r="O186" s="24" t="str">
        <x:f>'500件商品'!Q186</x:f>
        <x:v>1區</x:v>
      </x:c>
      <x:c r="P186" s="26" t="n">
        <x:f>'500件商品'!R186</x:f>
        <x:v>36</x:v>
      </x:c>
      <x:c r="Q186" s="24" t="str">
        <x:f>IF(H186="否","非棧板管理",IF(AND(E186="是",N186&gt;0),"季節彈性前移區",IF(OR(C186="Cluster 3",D186&gt;=55),"近端低層棧板區",IF(C186="Cluster 2","中段大貨位",IF(C186="Cluster 4","遠端彈性儲位","中段棧板區")))))</x:f>
        <x:v>中段大貨位</x:v>
      </x:c>
      <x:c r="R186" s="24" t="str">
        <x:f>IF(AND(H186="是",E186="是",N186&gt;0),"是","否")</x:f>
        <x:v>否</x:v>
      </x:c>
      <x:c r="S186" s="24" t="str">
        <x:f>IF(H186="否","非本次棧板儲位分析對象",IF(R186="是","旺季前需前移並增加棧板位",IF(N186&gt;0,"需增加棧板位",IF(N186&lt;0,"可釋放部分棧板位","維持現況"))))</x:f>
        <x:v>需增加棧板位</x:v>
      </x:c>
    </x:row>
    <x:row r="187">
      <x:c r="A187" s="24" t="str">
        <x:f>'500件商品'!A187</x:f>
        <x:v>PX0183</x:v>
      </x:c>
      <x:c r="B187" s="24" t="str">
        <x:f>'500件商品'!B187</x:f>
        <x:v>備用耗材-補充包</x:v>
      </x:c>
      <x:c r="C187" s="24" t="str">
        <x:f>'500件商品'!D187</x:f>
        <x:v>Cluster 5</x:v>
      </x:c>
      <x:c r="D187" s="26" t="n">
        <x:f>'500件商品'!F187</x:f>
        <x:v>30</x:v>
      </x:c>
      <x:c r="E187" s="24" t="str">
        <x:f>'500件商品'!K187</x:f>
        <x:v>否</x:v>
      </x:c>
      <x:c r="F187" s="24" t="str">
        <x:f>'500件商品'!L187</x:f>
      </x:c>
      <x:c r="G187" s="28" t="n">
        <x:f>'500件商品'!M187</x:f>
        <x:v>1</x:v>
      </x:c>
      <x:c r="H187" s="24" t="str">
        <x:f>'500件商品'!P187</x:f>
        <x:v>否</x:v>
      </x:c>
      <x:c r="I187" s="26" t="n">
        <x:f>'500件商品'!N187</x:f>
        <x:v>182</x:v>
      </x:c>
      <x:c r="J187" s="26" t="str">
        <x:f>'500件商品'!O187</x:f>
      </x:c>
      <x:c r="K187" s="26" t="n">
        <x:f>IF(H187="是",CEILING(I187/J187,1),0)</x:f>
        <x:v>0</x:v>
      </x:c>
      <x:c r="L187" s="26" t="n">
        <x:f>ROUND(I187*G187,0)</x:f>
        <x:v>182</x:v>
      </x:c>
      <x:c r="M187" s="26" t="n">
        <x:f>IF(H187="是",CEILING(L187/J187,1),0)</x:f>
        <x:v>0</x:v>
      </x:c>
      <x:c r="N187" s="26" t="n">
        <x:f>M187-K187</x:f>
        <x:v>0</x:v>
      </x:c>
      <x:c r="O187" s="24" t="str">
        <x:f>'500件商品'!Q187</x:f>
        <x:v>1區</x:v>
      </x:c>
      <x:c r="P187" s="26" t="n">
        <x:f>'500件商品'!R187</x:f>
        <x:v>38</x:v>
      </x:c>
      <x:c r="Q187" s="24" t="str">
        <x:f>IF(H187="否","非棧板管理",IF(AND(E187="是",N187&gt;0),"季節彈性前移區",IF(OR(C187="Cluster 3",D187&gt;=55),"近端低層棧板區",IF(C187="Cluster 2","中段大貨位",IF(C187="Cluster 4","遠端彈性儲位","中段棧板區")))))</x:f>
        <x:v>非棧板管理</x:v>
      </x:c>
      <x:c r="R187" s="24" t="str">
        <x:f>IF(AND(H187="是",E187="是",N187&gt;0),"是","否")</x:f>
        <x:v>否</x:v>
      </x:c>
      <x:c r="S187" s="24" t="str">
        <x:f>IF(H187="否","非本次棧板儲位分析對象",IF(R187="是","旺季前需前移並增加棧板位",IF(N187&gt;0,"需增加棧板位",IF(N187&lt;0,"可釋放部分棧板位","維持現況"))))</x:f>
        <x:v>非本次棧板儲位分析對象</x:v>
      </x:c>
    </x:row>
    <x:row r="188">
      <x:c r="A188" s="24" t="str">
        <x:f>'500件商品'!A188</x:f>
        <x:v>PX0184</x:v>
      </x:c>
      <x:c r="B188" s="24" t="str">
        <x:f>'500件商品'!B188</x:f>
        <x:v>寵物罐頭箱-促銷組</x:v>
      </x:c>
      <x:c r="C188" s="24" t="str">
        <x:f>'500件商品'!D188</x:f>
        <x:v>Cluster 5</x:v>
      </x:c>
      <x:c r="D188" s="26" t="n">
        <x:f>'500件商品'!F188</x:f>
        <x:v>18</x:v>
      </x:c>
      <x:c r="E188" s="24" t="str">
        <x:f>'500件商品'!K188</x:f>
        <x:v>否</x:v>
      </x:c>
      <x:c r="F188" s="24" t="str">
        <x:f>'500件商品'!L188</x:f>
      </x:c>
      <x:c r="G188" s="28" t="n">
        <x:f>'500件商品'!M188</x:f>
        <x:v>1</x:v>
      </x:c>
      <x:c r="H188" s="24" t="str">
        <x:f>'500件商品'!P188</x:f>
        <x:v>否</x:v>
      </x:c>
      <x:c r="I188" s="26" t="n">
        <x:f>'500件商品'!N188</x:f>
        <x:v>101</x:v>
      </x:c>
      <x:c r="J188" s="26" t="str">
        <x:f>'500件商品'!O188</x:f>
      </x:c>
      <x:c r="K188" s="26" t="n">
        <x:f>IF(H188="是",CEILING(I188/J188,1),0)</x:f>
        <x:v>0</x:v>
      </x:c>
      <x:c r="L188" s="26" t="n">
        <x:f>ROUND(I188*G188,0)</x:f>
        <x:v>101</x:v>
      </x:c>
      <x:c r="M188" s="26" t="n">
        <x:f>IF(H188="是",CEILING(L188/J188,1),0)</x:f>
        <x:v>0</x:v>
      </x:c>
      <x:c r="N188" s="26" t="n">
        <x:f>M188-K188</x:f>
        <x:v>0</x:v>
      </x:c>
      <x:c r="O188" s="24" t="str">
        <x:f>'500件商品'!Q188</x:f>
        <x:v>3區</x:v>
      </x:c>
      <x:c r="P188" s="26" t="n">
        <x:f>'500件商品'!R188</x:f>
        <x:v>39</x:v>
      </x:c>
      <x:c r="Q188" s="24" t="str">
        <x:f>IF(H188="否","非棧板管理",IF(AND(E188="是",N188&gt;0),"季節彈性前移區",IF(OR(C188="Cluster 3",D188&gt;=55),"近端低層棧板區",IF(C188="Cluster 2","中段大貨位",IF(C188="Cluster 4","遠端彈性儲位","中段棧板區")))))</x:f>
        <x:v>非棧板管理</x:v>
      </x:c>
      <x:c r="R188" s="24" t="str">
        <x:f>IF(AND(H188="是",E188="是",N188&gt;0),"是","否")</x:f>
        <x:v>否</x:v>
      </x:c>
      <x:c r="S188" s="24" t="str">
        <x:f>IF(H188="否","非本次棧板儲位分析對象",IF(R188="是","旺季前需前移並增加棧板位",IF(N188&gt;0,"需增加棧板位",IF(N188&lt;0,"可釋放部分棧板位","維持現況"))))</x:f>
        <x:v>非本次棧板儲位分析對象</x:v>
      </x:c>
    </x:row>
    <x:row r="189">
      <x:c r="A189" s="24" t="str">
        <x:f>'500件商品'!A189</x:f>
        <x:v>PX0185</x:v>
      </x:c>
      <x:c r="B189" s="24" t="str">
        <x:f>'500件商品'!B189</x:f>
        <x:v>手套耗材-箱裝</x:v>
      </x:c>
      <x:c r="C189" s="24" t="str">
        <x:f>'500件商品'!D189</x:f>
        <x:v>Cluster 4</x:v>
      </x:c>
      <x:c r="D189" s="26" t="n">
        <x:f>'500件商品'!F189</x:f>
        <x:v>15</x:v>
      </x:c>
      <x:c r="E189" s="24" t="str">
        <x:f>'500件商品'!K189</x:f>
        <x:v>是</x:v>
      </x:c>
      <x:c r="F189" s="24" t="str">
        <x:f>'500件商品'!L189</x:f>
        <x:v>旺季</x:v>
      </x:c>
      <x:c r="G189" s="28" t="n">
        <x:f>'500件商品'!M189</x:f>
        <x:v>1.8</x:v>
      </x:c>
      <x:c r="H189" s="24" t="str">
        <x:f>'500件商品'!P189</x:f>
        <x:v>否</x:v>
      </x:c>
      <x:c r="I189" s="26" t="n">
        <x:f>'500件商品'!N189</x:f>
        <x:v>131</x:v>
      </x:c>
      <x:c r="J189" s="26" t="str">
        <x:f>'500件商品'!O189</x:f>
      </x:c>
      <x:c r="K189" s="26" t="n">
        <x:f>IF(H189="是",CEILING(I189/J189,1),0)</x:f>
        <x:v>0</x:v>
      </x:c>
      <x:c r="L189" s="26" t="n">
        <x:f>ROUND(I189*G189,0)</x:f>
        <x:v>236</x:v>
      </x:c>
      <x:c r="M189" s="26" t="n">
        <x:f>IF(H189="是",CEILING(L189/J189,1),0)</x:f>
        <x:v>0</x:v>
      </x:c>
      <x:c r="N189" s="26" t="n">
        <x:f>M189-K189</x:f>
        <x:v>0</x:v>
      </x:c>
      <x:c r="O189" s="24" t="str">
        <x:f>'500件商品'!Q189</x:f>
        <x:v>A區</x:v>
      </x:c>
      <x:c r="P189" s="26" t="n">
        <x:f>'500件商品'!R189</x:f>
        <x:v>30</x:v>
      </x:c>
      <x:c r="Q189" s="24" t="str">
        <x:f>IF(H189="否","非棧板管理",IF(AND(E189="是",N189&gt;0),"季節彈性前移區",IF(OR(C189="Cluster 3",D189&gt;=55),"近端低層棧板區",IF(C189="Cluster 2","中段大貨位",IF(C189="Cluster 4","遠端彈性儲位","中段棧板區")))))</x:f>
        <x:v>非棧板管理</x:v>
      </x:c>
      <x:c r="R189" s="24" t="str">
        <x:f>IF(AND(H189="是",E189="是",N189&gt;0),"是","否")</x:f>
        <x:v>否</x:v>
      </x:c>
      <x:c r="S189" s="24" t="str">
        <x:f>IF(H189="否","非本次棧板儲位分析對象",IF(R189="是","旺季前需前移並增加棧板位",IF(N189&gt;0,"需增加棧板位",IF(N189&lt;0,"可釋放部分棧板位","維持現況"))))</x:f>
        <x:v>非本次棧板儲位分析對象</x:v>
      </x:c>
    </x:row>
    <x:row r="190">
      <x:c r="A190" s="24" t="str">
        <x:f>'500件商品'!A190</x:f>
        <x:v>PX0186</x:v>
      </x:c>
      <x:c r="B190" s="24" t="str">
        <x:f>'500件商品'!B190</x:f>
        <x:v>寵物尿布墊-標準箱</x:v>
      </x:c>
      <x:c r="C190" s="24" t="str">
        <x:f>'500件商品'!D190</x:f>
        <x:v>Cluster 2</x:v>
      </x:c>
      <x:c r="D190" s="26" t="n">
        <x:f>'500件商品'!F190</x:f>
        <x:v>54</x:v>
      </x:c>
      <x:c r="E190" s="24" t="str">
        <x:f>'500件商品'!K190</x:f>
        <x:v>否</x:v>
      </x:c>
      <x:c r="F190" s="24" t="str">
        <x:f>'500件商品'!L190</x:f>
      </x:c>
      <x:c r="G190" s="28" t="n">
        <x:f>'500件商品'!M190</x:f>
        <x:v>1</x:v>
      </x:c>
      <x:c r="H190" s="24" t="str">
        <x:f>'500件商品'!P190</x:f>
        <x:v>是</x:v>
      </x:c>
      <x:c r="I190" s="26" t="n">
        <x:f>'500件商品'!N190</x:f>
        <x:v>218</x:v>
      </x:c>
      <x:c r="J190" s="26" t="n">
        <x:f>'500件商品'!O190</x:f>
        <x:v>30</x:v>
      </x:c>
      <x:c r="K190" s="26" t="n">
        <x:f>IF(H190="是",CEILING(I190/J190,1),0)</x:f>
        <x:v>8</x:v>
      </x:c>
      <x:c r="L190" s="26" t="n">
        <x:f>ROUND(I190*G190,0)</x:f>
        <x:v>218</x:v>
      </x:c>
      <x:c r="M190" s="26" t="n">
        <x:f>IF(H190="是",CEILING(L190/J190,1),0)</x:f>
        <x:v>8</x:v>
      </x:c>
      <x:c r="N190" s="26" t="n">
        <x:f>M190-K190</x:f>
        <x:v>0</x:v>
      </x:c>
      <x:c r="O190" s="24" t="str">
        <x:f>'500件商品'!Q190</x:f>
        <x:v>A區</x:v>
      </x:c>
      <x:c r="P190" s="26" t="n">
        <x:f>'500件商品'!R190</x:f>
        <x:v>22</x:v>
      </x:c>
      <x:c r="Q190" s="24" t="str">
        <x:f>IF(H190="否","非棧板管理",IF(AND(E190="是",N190&gt;0),"季節彈性前移區",IF(OR(C190="Cluster 3",D190&gt;=55),"近端低層棧板區",IF(C190="Cluster 2","中段大貨位",IF(C190="Cluster 4","遠端彈性儲位","中段棧板區")))))</x:f>
        <x:v>中段大貨位</x:v>
      </x:c>
      <x:c r="R190" s="24" t="str">
        <x:f>IF(AND(H190="是",E190="是",N190&gt;0),"是","否")</x:f>
        <x:v>否</x:v>
      </x:c>
      <x:c r="S190" s="24" t="str">
        <x:f>IF(H190="否","非本次棧板儲位分析對象",IF(R190="是","旺季前需前移並增加棧板位",IF(N190&gt;0,"需增加棧板位",IF(N190&lt;0,"可釋放部分棧板位","維持現況"))))</x:f>
        <x:v>維持現況</x:v>
      </x:c>
    </x:row>
    <x:row r="191">
      <x:c r="A191" s="24" t="str">
        <x:f>'500件商品'!A191</x:f>
        <x:v>PX0187</x:v>
      </x:c>
      <x:c r="B191" s="24" t="str">
        <x:f>'500件商品'!B191</x:f>
        <x:v>蛋捲禮盒-家庭號</x:v>
      </x:c>
      <x:c r="C191" s="24" t="str">
        <x:f>'500件商品'!D191</x:f>
        <x:v>Cluster 4</x:v>
      </x:c>
      <x:c r="D191" s="26" t="n">
        <x:f>'500件商品'!F191</x:f>
        <x:v>5</x:v>
      </x:c>
      <x:c r="E191" s="24" t="str">
        <x:f>'500件商品'!K191</x:f>
        <x:v>是</x:v>
      </x:c>
      <x:c r="F191" s="24" t="str">
        <x:f>'500件商品'!L191</x:f>
        <x:v>1-2月</x:v>
      </x:c>
      <x:c r="G191" s="28" t="n">
        <x:f>'500件商品'!M191</x:f>
        <x:v>3</x:v>
      </x:c>
      <x:c r="H191" s="24" t="str">
        <x:f>'500件商品'!P191</x:f>
        <x:v>是</x:v>
      </x:c>
      <x:c r="I191" s="26" t="n">
        <x:f>'500件商品'!N191</x:f>
        <x:v>35</x:v>
      </x:c>
      <x:c r="J191" s="26" t="n">
        <x:f>'500件商品'!O191</x:f>
        <x:v>24</x:v>
      </x:c>
      <x:c r="K191" s="26" t="n">
        <x:f>IF(H191="是",CEILING(I191/J191,1),0)</x:f>
        <x:v>2</x:v>
      </x:c>
      <x:c r="L191" s="26" t="n">
        <x:f>ROUND(I191*G191,0)</x:f>
        <x:v>105</x:v>
      </x:c>
      <x:c r="M191" s="26" t="n">
        <x:f>IF(H191="是",CEILING(L191/J191,1),0)</x:f>
        <x:v>5</x:v>
      </x:c>
      <x:c r="N191" s="26" t="n">
        <x:f>M191-K191</x:f>
        <x:v>3</x:v>
      </x:c>
      <x:c r="O191" s="24" t="str">
        <x:f>'500件商品'!Q191</x:f>
        <x:v>A區</x:v>
      </x:c>
      <x:c r="P191" s="26" t="n">
        <x:f>'500件商品'!R191</x:f>
        <x:v>22</x:v>
      </x:c>
      <x:c r="Q191" s="24" t="str">
        <x:f>IF(H191="否","非棧板管理",IF(AND(E191="是",N191&gt;0),"季節彈性前移區",IF(OR(C191="Cluster 3",D191&gt;=55),"近端低層棧板區",IF(C191="Cluster 2","中段大貨位",IF(C191="Cluster 4","遠端彈性儲位","中段棧板區")))))</x:f>
        <x:v>季節彈性前移區</x:v>
      </x:c>
      <x:c r="R191" s="24" t="str">
        <x:f>IF(AND(H191="是",E191="是",N191&gt;0),"是","否")</x:f>
        <x:v>是</x:v>
      </x:c>
      <x:c r="S191" s="24" t="str">
        <x:f>IF(H191="否","非本次棧板儲位分析對象",IF(R191="是","旺季前需前移並增加棧板位",IF(N191&gt;0,"需增加棧板位",IF(N191&lt;0,"可釋放部分棧板位","維持現況"))))</x:f>
        <x:v>旺季前需前移並增加棧板位</x:v>
      </x:c>
    </x:row>
    <x:row r="192">
      <x:c r="A192" s="24" t="str">
        <x:f>'500件商品'!A192</x:f>
        <x:v>PX0188</x:v>
      </x:c>
      <x:c r="B192" s="24" t="str">
        <x:f>'500件商品'!B192</x:f>
        <x:v>餅乾箱-家庭號</x:v>
      </x:c>
      <x:c r="C192" s="24" t="str">
        <x:f>'500件商品'!D192</x:f>
        <x:v>Cluster 2</x:v>
      </x:c>
      <x:c r="D192" s="26" t="n">
        <x:f>'500件商品'!F192</x:f>
        <x:v>27</x:v>
      </x:c>
      <x:c r="E192" s="24" t="str">
        <x:f>'500件商品'!K192</x:f>
        <x:v>否</x:v>
      </x:c>
      <x:c r="F192" s="24" t="str">
        <x:f>'500件商品'!L192</x:f>
      </x:c>
      <x:c r="G192" s="28" t="n">
        <x:f>'500件商品'!M192</x:f>
        <x:v>1.1</x:v>
      </x:c>
      <x:c r="H192" s="24" t="str">
        <x:f>'500件商品'!P192</x:f>
        <x:v>是</x:v>
      </x:c>
      <x:c r="I192" s="26" t="n">
        <x:f>'500件商品'!N192</x:f>
        <x:v>156</x:v>
      </x:c>
      <x:c r="J192" s="26" t="n">
        <x:f>'500件商品'!O192</x:f>
        <x:v>32</x:v>
      </x:c>
      <x:c r="K192" s="26" t="n">
        <x:f>IF(H192="是",CEILING(I192/J192,1),0)</x:f>
        <x:v>5</x:v>
      </x:c>
      <x:c r="L192" s="26" t="n">
        <x:f>ROUND(I192*G192,0)</x:f>
        <x:v>172</x:v>
      </x:c>
      <x:c r="M192" s="26" t="n">
        <x:f>IF(H192="是",CEILING(L192/J192,1),0)</x:f>
        <x:v>6</x:v>
      </x:c>
      <x:c r="N192" s="26" t="n">
        <x:f>M192-K192</x:f>
        <x:v>1</x:v>
      </x:c>
      <x:c r="O192" s="24" t="str">
        <x:f>'500件商品'!Q192</x:f>
        <x:v>遠端區</x:v>
      </x:c>
      <x:c r="P192" s="26" t="n">
        <x:f>'500件商品'!R192</x:f>
        <x:v>73</x:v>
      </x:c>
      <x:c r="Q192" s="24" t="str">
        <x:f>IF(H192="否","非棧板管理",IF(AND(E192="是",N192&gt;0),"季節彈性前移區",IF(OR(C192="Cluster 3",D192&gt;=55),"近端低層棧板區",IF(C192="Cluster 2","中段大貨位",IF(C192="Cluster 4","遠端彈性儲位","中段棧板區")))))</x:f>
        <x:v>中段大貨位</x:v>
      </x:c>
      <x:c r="R192" s="24" t="str">
        <x:f>IF(AND(H192="是",E192="是",N192&gt;0),"是","否")</x:f>
        <x:v>否</x:v>
      </x:c>
      <x:c r="S192" s="24" t="str">
        <x:f>IF(H192="否","非本次棧板儲位分析對象",IF(R192="是","旺季前需前移並增加棧板位",IF(N192&gt;0,"需增加棧板位",IF(N192&lt;0,"可釋放部分棧板位","維持現況"))))</x:f>
        <x:v>需增加棧板位</x:v>
      </x:c>
    </x:row>
    <x:row r="193">
      <x:c r="A193" s="24" t="str">
        <x:f>'500件商品'!A193</x:f>
        <x:v>PX0189</x:v>
      </x:c>
      <x:c r="B193" s="24" t="str">
        <x:f>'500件商品'!B193</x:f>
        <x:v>備用耗材-補充包</x:v>
      </x:c>
      <x:c r="C193" s="24" t="str">
        <x:f>'500件商品'!D193</x:f>
        <x:v>Cluster 5</x:v>
      </x:c>
      <x:c r="D193" s="26" t="n">
        <x:f>'500件商品'!F193</x:f>
        <x:v>38</x:v>
      </x:c>
      <x:c r="E193" s="24" t="str">
        <x:f>'500件商品'!K193</x:f>
        <x:v>否</x:v>
      </x:c>
      <x:c r="F193" s="24" t="str">
        <x:f>'500件商品'!L193</x:f>
      </x:c>
      <x:c r="G193" s="28" t="n">
        <x:f>'500件商品'!M193</x:f>
        <x:v>1</x:v>
      </x:c>
      <x:c r="H193" s="24" t="str">
        <x:f>'500件商品'!P193</x:f>
        <x:v>是</x:v>
      </x:c>
      <x:c r="I193" s="26" t="n">
        <x:f>'500件商品'!N193</x:f>
        <x:v>394</x:v>
      </x:c>
      <x:c r="J193" s="26" t="n">
        <x:f>'500件商品'!O193</x:f>
        <x:v>48</x:v>
      </x:c>
      <x:c r="K193" s="26" t="n">
        <x:f>IF(H193="是",CEILING(I193/J193,1),0)</x:f>
        <x:v>9</x:v>
      </x:c>
      <x:c r="L193" s="26" t="n">
        <x:f>ROUND(I193*G193,0)</x:f>
        <x:v>394</x:v>
      </x:c>
      <x:c r="M193" s="26" t="n">
        <x:f>IF(H193="是",CEILING(L193/J193,1),0)</x:f>
        <x:v>9</x:v>
      </x:c>
      <x:c r="N193" s="26" t="n">
        <x:f>M193-K193</x:f>
        <x:v>0</x:v>
      </x:c>
      <x:c r="O193" s="24" t="str">
        <x:f>'500件商品'!Q193</x:f>
        <x:v>K區</x:v>
      </x:c>
      <x:c r="P193" s="26" t="n">
        <x:f>'500件商品'!R193</x:f>
        <x:v>56</x:v>
      </x:c>
      <x:c r="Q193" s="24" t="str">
        <x:f>IF(H193="否","非棧板管理",IF(AND(E193="是",N193&gt;0),"季節彈性前移區",IF(OR(C193="Cluster 3",D193&gt;=55),"近端低層棧板區",IF(C193="Cluster 2","中段大貨位",IF(C193="Cluster 4","遠端彈性儲位","中段棧板區")))))</x:f>
        <x:v>中段棧板區</x:v>
      </x:c>
      <x:c r="R193" s="24" t="str">
        <x:f>IF(AND(H193="是",E193="是",N193&gt;0),"是","否")</x:f>
        <x:v>否</x:v>
      </x:c>
      <x:c r="S193" s="24" t="str">
        <x:f>IF(H193="否","非本次棧板儲位分析對象",IF(R193="是","旺季前需前移並增加棧板位",IF(N193&gt;0,"需增加棧板位",IF(N193&lt;0,"可釋放部分棧板位","維持現況"))))</x:f>
        <x:v>維持現況</x:v>
      </x:c>
    </x:row>
    <x:row r="194">
      <x:c r="A194" s="24" t="str">
        <x:f>'500件商品'!A194</x:f>
        <x:v>PX0190</x:v>
      </x:c>
      <x:c r="B194" s="24" t="str">
        <x:f>'500件商品'!B194</x:f>
        <x:v>乾電池組-箱裝</x:v>
      </x:c>
      <x:c r="C194" s="24" t="str">
        <x:f>'500件商品'!D194</x:f>
        <x:v>Cluster 5</x:v>
      </x:c>
      <x:c r="D194" s="26" t="n">
        <x:f>'500件商品'!F194</x:f>
        <x:v>16</x:v>
      </x:c>
      <x:c r="E194" s="24" t="str">
        <x:f>'500件商品'!K194</x:f>
        <x:v>否</x:v>
      </x:c>
      <x:c r="F194" s="24" t="str">
        <x:f>'500件商品'!L194</x:f>
      </x:c>
      <x:c r="G194" s="28" t="n">
        <x:f>'500件商品'!M194</x:f>
        <x:v>1</x:v>
      </x:c>
      <x:c r="H194" s="24" t="str">
        <x:f>'500件商品'!P194</x:f>
        <x:v>否</x:v>
      </x:c>
      <x:c r="I194" s="26" t="n">
        <x:f>'500件商品'!N194</x:f>
        <x:v>120</x:v>
      </x:c>
      <x:c r="J194" s="26" t="str">
        <x:f>'500件商品'!O194</x:f>
      </x:c>
      <x:c r="K194" s="26" t="n">
        <x:f>IF(H194="是",CEILING(I194/J194,1),0)</x:f>
        <x:v>0</x:v>
      </x:c>
      <x:c r="L194" s="26" t="n">
        <x:f>ROUND(I194*G194,0)</x:f>
        <x:v>120</x:v>
      </x:c>
      <x:c r="M194" s="26" t="n">
        <x:f>IF(H194="是",CEILING(L194/J194,1),0)</x:f>
        <x:v>0</x:v>
      </x:c>
      <x:c r="N194" s="26" t="n">
        <x:f>M194-K194</x:f>
        <x:v>0</x:v>
      </x:c>
      <x:c r="O194" s="24" t="str">
        <x:f>'500件商品'!Q194</x:f>
        <x:v>彈性區</x:v>
      </x:c>
      <x:c r="P194" s="26" t="n">
        <x:f>'500件商品'!R194</x:f>
        <x:v>58</x:v>
      </x:c>
      <x:c r="Q194" s="24" t="str">
        <x:f>IF(H194="否","非棧板管理",IF(AND(E194="是",N194&gt;0),"季節彈性前移區",IF(OR(C194="Cluster 3",D194&gt;=55),"近端低層棧板區",IF(C194="Cluster 2","中段大貨位",IF(C194="Cluster 4","遠端彈性儲位","中段棧板區")))))</x:f>
        <x:v>非棧板管理</x:v>
      </x:c>
      <x:c r="R194" s="24" t="str">
        <x:f>IF(AND(H194="是",E194="是",N194&gt;0),"是","否")</x:f>
        <x:v>否</x:v>
      </x:c>
      <x:c r="S194" s="24" t="str">
        <x:f>IF(H194="否","非本次棧板儲位分析對象",IF(R194="是","旺季前需前移並增加棧板位",IF(N194&gt;0,"需增加棧板位",IF(N194&lt;0,"可釋放部分棧板位","維持現況"))))</x:f>
        <x:v>非本次棧板儲位分析對象</x:v>
      </x:c>
    </x:row>
    <x:row r="195">
      <x:c r="A195" s="24" t="str">
        <x:f>'500件商品'!A195</x:f>
        <x:v>PX0191</x:v>
      </x:c>
      <x:c r="B195" s="24" t="str">
        <x:f>'500件商品'!B195</x:f>
        <x:v>玻璃瓶醬料-小包裝</x:v>
      </x:c>
      <x:c r="C195" s="24" t="str">
        <x:f>'500件商品'!D195</x:f>
        <x:v>Cluster 1</x:v>
      </x:c>
      <x:c r="D195" s="26" t="n">
        <x:f>'500件商品'!F195</x:f>
        <x:v>7</x:v>
      </x:c>
      <x:c r="E195" s="24" t="str">
        <x:f>'500件商品'!K195</x:f>
        <x:v>否</x:v>
      </x:c>
      <x:c r="F195" s="24" t="str">
        <x:f>'500件商品'!L195</x:f>
      </x:c>
      <x:c r="G195" s="28" t="n">
        <x:f>'500件商品'!M195</x:f>
        <x:v>1</x:v>
      </x:c>
      <x:c r="H195" s="24" t="str">
        <x:f>'500件商品'!P195</x:f>
        <x:v>否</x:v>
      </x:c>
      <x:c r="I195" s="26" t="n">
        <x:f>'500件商品'!N195</x:f>
        <x:v>40</x:v>
      </x:c>
      <x:c r="J195" s="26" t="str">
        <x:f>'500件商品'!O195</x:f>
      </x:c>
      <x:c r="K195" s="26" t="n">
        <x:f>IF(H195="是",CEILING(I195/J195,1),0)</x:f>
        <x:v>0</x:v>
      </x:c>
      <x:c r="L195" s="26" t="n">
        <x:f>ROUND(I195*G195,0)</x:f>
        <x:v>40</x:v>
      </x:c>
      <x:c r="M195" s="26" t="n">
        <x:f>IF(H195="是",CEILING(L195/J195,1),0)</x:f>
        <x:v>0</x:v>
      </x:c>
      <x:c r="N195" s="26" t="n">
        <x:f>M195-K195</x:f>
        <x:v>0</x:v>
      </x:c>
      <x:c r="O195" s="24" t="str">
        <x:f>'500件商品'!Q195</x:f>
        <x:v>遠端區</x:v>
      </x:c>
      <x:c r="P195" s="26" t="n">
        <x:f>'500件商品'!R195</x:f>
        <x:v>70</x:v>
      </x:c>
      <x:c r="Q195" s="24" t="str">
        <x:f>IF(H195="否","非棧板管理",IF(AND(E195="是",N195&gt;0),"季節彈性前移區",IF(OR(C195="Cluster 3",D195&gt;=55),"近端低層棧板區",IF(C195="Cluster 2","中段大貨位",IF(C195="Cluster 4","遠端彈性儲位","中段棧板區")))))</x:f>
        <x:v>非棧板管理</x:v>
      </x:c>
      <x:c r="R195" s="24" t="str">
        <x:f>IF(AND(H195="是",E195="是",N195&gt;0),"是","否")</x:f>
        <x:v>否</x:v>
      </x:c>
      <x:c r="S195" s="24" t="str">
        <x:f>IF(H195="否","非本次棧板儲位分析對象",IF(R195="是","旺季前需前移並增加棧板位",IF(N195&gt;0,"需增加棧板位",IF(N195&lt;0,"可釋放部分棧板位","維持現況"))))</x:f>
        <x:v>非本次棧板儲位分析對象</x:v>
      </x:c>
    </x:row>
    <x:row r="196">
      <x:c r="A196" s="24" t="str">
        <x:f>'500件商品'!A196</x:f>
        <x:v>PX0192</x:v>
      </x:c>
      <x:c r="B196" s="24" t="str">
        <x:f>'500件商品'!B196</x:f>
        <x:v>保鮮膜-家庭號</x:v>
      </x:c>
      <x:c r="C196" s="24" t="str">
        <x:f>'500件商品'!D196</x:f>
        <x:v>Cluster 5</x:v>
      </x:c>
      <x:c r="D196" s="26" t="n">
        <x:f>'500件商品'!F196</x:f>
        <x:v>60</x:v>
      </x:c>
      <x:c r="E196" s="24" t="str">
        <x:f>'500件商品'!K196</x:f>
        <x:v>否</x:v>
      </x:c>
      <x:c r="F196" s="24" t="str">
        <x:f>'500件商品'!L196</x:f>
      </x:c>
      <x:c r="G196" s="28" t="n">
        <x:f>'500件商品'!M196</x:f>
        <x:v>1</x:v>
      </x:c>
      <x:c r="H196" s="24" t="str">
        <x:f>'500件商品'!P196</x:f>
        <x:v>是</x:v>
      </x:c>
      <x:c r="I196" s="26" t="n">
        <x:f>'500件商品'!N196</x:f>
        <x:v>319</x:v>
      </x:c>
      <x:c r="J196" s="26" t="n">
        <x:f>'500件商品'!O196</x:f>
        <x:v>72</x:v>
      </x:c>
      <x:c r="K196" s="26" t="n">
        <x:f>IF(H196="是",CEILING(I196/J196,1),0)</x:f>
        <x:v>5</x:v>
      </x:c>
      <x:c r="L196" s="26" t="n">
        <x:f>ROUND(I196*G196,0)</x:f>
        <x:v>319</x:v>
      </x:c>
      <x:c r="M196" s="26" t="n">
        <x:f>IF(H196="是",CEILING(L196/J196,1),0)</x:f>
        <x:v>5</x:v>
      </x:c>
      <x:c r="N196" s="26" t="n">
        <x:f>M196-K196</x:f>
        <x:v>0</x:v>
      </x:c>
      <x:c r="O196" s="24" t="str">
        <x:f>'500件商品'!Q196</x:f>
        <x:v>3區</x:v>
      </x:c>
      <x:c r="P196" s="26" t="n">
        <x:f>'500件商品'!R196</x:f>
        <x:v>36</x:v>
      </x:c>
      <x:c r="Q196" s="24" t="str">
        <x:f>IF(H196="否","非棧板管理",IF(AND(E196="是",N196&gt;0),"季節彈性前移區",IF(OR(C196="Cluster 3",D196&gt;=55),"近端低層棧板區",IF(C196="Cluster 2","中段大貨位",IF(C196="Cluster 4","遠端彈性儲位","中段棧板區")))))</x:f>
        <x:v>近端低層棧板區</x:v>
      </x:c>
      <x:c r="R196" s="24" t="str">
        <x:f>IF(AND(H196="是",E196="是",N196&gt;0),"是","否")</x:f>
        <x:v>否</x:v>
      </x:c>
      <x:c r="S196" s="24" t="str">
        <x:f>IF(H196="否","非本次棧板儲位分析對象",IF(R196="是","旺季前需前移並增加棧板位",IF(N196&gt;0,"需增加棧板位",IF(N196&lt;0,"可釋放部分棧板位","維持現況"))))</x:f>
        <x:v>維持現況</x:v>
      </x:c>
    </x:row>
    <x:row r="197">
      <x:c r="A197" s="24" t="str">
        <x:f>'500件商品'!A197</x:f>
        <x:v>PX0193</x:v>
      </x:c>
      <x:c r="B197" s="24" t="str">
        <x:f>'500件商品'!B197</x:f>
        <x:v>牙刷組-補充包</x:v>
      </x:c>
      <x:c r="C197" s="24" t="str">
        <x:f>'500件商品'!D197</x:f>
        <x:v>Cluster 5</x:v>
      </x:c>
      <x:c r="D197" s="26" t="n">
        <x:f>'500件商品'!F197</x:f>
        <x:v>36</x:v>
      </x:c>
      <x:c r="E197" s="24" t="str">
        <x:f>'500件商品'!K197</x:f>
        <x:v>否</x:v>
      </x:c>
      <x:c r="F197" s="24" t="str">
        <x:f>'500件商品'!L197</x:f>
      </x:c>
      <x:c r="G197" s="28" t="n">
        <x:f>'500件商品'!M197</x:f>
        <x:v>1.1</x:v>
      </x:c>
      <x:c r="H197" s="24" t="str">
        <x:f>'500件商品'!P197</x:f>
        <x:v>是</x:v>
      </x:c>
      <x:c r="I197" s="26" t="n">
        <x:f>'500件商品'!N197</x:f>
        <x:v>164</x:v>
      </x:c>
      <x:c r="J197" s="26" t="n">
        <x:f>'500件商品'!O197</x:f>
        <x:v>80</x:v>
      </x:c>
      <x:c r="K197" s="26" t="n">
        <x:f>IF(H197="是",CEILING(I197/J197,1),0)</x:f>
        <x:v>3</x:v>
      </x:c>
      <x:c r="L197" s="26" t="n">
        <x:f>ROUND(I197*G197,0)</x:f>
        <x:v>180</x:v>
      </x:c>
      <x:c r="M197" s="26" t="n">
        <x:f>IF(H197="是",CEILING(L197/J197,1),0)</x:f>
        <x:v>3</x:v>
      </x:c>
      <x:c r="N197" s="26" t="n">
        <x:f>M197-K197</x:f>
        <x:v>0</x:v>
      </x:c>
      <x:c r="O197" s="24" t="str">
        <x:f>'500件商品'!Q197</x:f>
        <x:v>彈性區</x:v>
      </x:c>
      <x:c r="P197" s="26" t="n">
        <x:f>'500件商品'!R197</x:f>
        <x:v>57</x:v>
      </x:c>
      <x:c r="Q197" s="24" t="str">
        <x:f>IF(H197="否","非棧板管理",IF(AND(E197="是",N197&gt;0),"季節彈性前移區",IF(OR(C197="Cluster 3",D197&gt;=55),"近端低層棧板區",IF(C197="Cluster 2","中段大貨位",IF(C197="Cluster 4","遠端彈性儲位","中段棧板區")))))</x:f>
        <x:v>中段棧板區</x:v>
      </x:c>
      <x:c r="R197" s="24" t="str">
        <x:f>IF(AND(H197="是",E197="是",N197&gt;0),"是","否")</x:f>
        <x:v>否</x:v>
      </x:c>
      <x:c r="S197" s="24" t="str">
        <x:f>IF(H197="否","非本次棧板儲位分析對象",IF(R197="是","旺季前需前移並增加棧板位",IF(N197&gt;0,"需增加棧板位",IF(N197&lt;0,"可釋放部分棧板位","維持現況"))))</x:f>
        <x:v>維持現況</x:v>
      </x:c>
    </x:row>
    <x:row r="198">
      <x:c r="A198" s="24" t="str">
        <x:f>'500件商品'!A198</x:f>
        <x:v>PX0194</x:v>
      </x:c>
      <x:c r="B198" s="24" t="str">
        <x:f>'500件商品'!B198</x:f>
        <x:v>衣架組-補充包</x:v>
      </x:c>
      <x:c r="C198" s="24" t="str">
        <x:f>'500件商品'!D198</x:f>
        <x:v>Cluster 5</x:v>
      </x:c>
      <x:c r="D198" s="26" t="n">
        <x:f>'500件商品'!F198</x:f>
        <x:v>35</x:v>
      </x:c>
      <x:c r="E198" s="24" t="str">
        <x:f>'500件商品'!K198</x:f>
        <x:v>否</x:v>
      </x:c>
      <x:c r="F198" s="24" t="str">
        <x:f>'500件商品'!L198</x:f>
      </x:c>
      <x:c r="G198" s="28" t="n">
        <x:f>'500件商品'!M198</x:f>
        <x:v>1</x:v>
      </x:c>
      <x:c r="H198" s="24" t="str">
        <x:f>'500件商品'!P198</x:f>
        <x:v>是</x:v>
      </x:c>
      <x:c r="I198" s="26" t="n">
        <x:f>'500件商品'!N198</x:f>
        <x:v>143</x:v>
      </x:c>
      <x:c r="J198" s="26" t="n">
        <x:f>'500件商品'!O198</x:f>
        <x:v>80</x:v>
      </x:c>
      <x:c r="K198" s="26" t="n">
        <x:f>IF(H198="是",CEILING(I198/J198,1),0)</x:f>
        <x:v>2</x:v>
      </x:c>
      <x:c r="L198" s="26" t="n">
        <x:f>ROUND(I198*G198,0)</x:f>
        <x:v>143</x:v>
      </x:c>
      <x:c r="M198" s="26" t="n">
        <x:f>IF(H198="是",CEILING(L198/J198,1),0)</x:f>
        <x:v>2</x:v>
      </x:c>
      <x:c r="N198" s="26" t="n">
        <x:f>M198-K198</x:f>
        <x:v>0</x:v>
      </x:c>
      <x:c r="O198" s="24" t="str">
        <x:f>'500件商品'!Q198</x:f>
        <x:v>彈性區</x:v>
      </x:c>
      <x:c r="P198" s="26" t="n">
        <x:f>'500件商品'!R198</x:f>
        <x:v>62</x:v>
      </x:c>
      <x:c r="Q198" s="24" t="str">
        <x:f>IF(H198="否","非棧板管理",IF(AND(E198="是",N198&gt;0),"季節彈性前移區",IF(OR(C198="Cluster 3",D198&gt;=55),"近端低層棧板區",IF(C198="Cluster 2","中段大貨位",IF(C198="Cluster 4","遠端彈性儲位","中段棧板區")))))</x:f>
        <x:v>中段棧板區</x:v>
      </x:c>
      <x:c r="R198" s="24" t="str">
        <x:f>IF(AND(H198="是",E198="是",N198&gt;0),"是","否")</x:f>
        <x:v>否</x:v>
      </x:c>
      <x:c r="S198" s="24" t="str">
        <x:f>IF(H198="否","非本次棧板儲位分析對象",IF(R198="是","旺季前需前移並增加棧板位",IF(N198&gt;0,"需增加棧板位",IF(N198&lt;0,"可釋放部分棧板位","維持現況"))))</x:f>
        <x:v>維持現況</x:v>
      </x:c>
    </x:row>
    <x:row r="199">
      <x:c r="A199" s="24" t="str">
        <x:f>'500件商品'!A199</x:f>
        <x:v>PX0195</x:v>
      </x:c>
      <x:c r="B199" s="24" t="str">
        <x:f>'500件商品'!B199</x:f>
        <x:v>口罩盒-小包裝</x:v>
      </x:c>
      <x:c r="C199" s="24" t="str">
        <x:f>'500件商品'!D199</x:f>
        <x:v>Cluster 5</x:v>
      </x:c>
      <x:c r="D199" s="26" t="n">
        <x:f>'500件商品'!F199</x:f>
        <x:v>7</x:v>
      </x:c>
      <x:c r="E199" s="24" t="str">
        <x:f>'500件商品'!K199</x:f>
        <x:v>否</x:v>
      </x:c>
      <x:c r="F199" s="24" t="str">
        <x:f>'500件商品'!L199</x:f>
      </x:c>
      <x:c r="G199" s="28" t="n">
        <x:f>'500件商品'!M199</x:f>
        <x:v>1</x:v>
      </x:c>
      <x:c r="H199" s="24" t="str">
        <x:f>'500件商品'!P199</x:f>
        <x:v>否</x:v>
      </x:c>
      <x:c r="I199" s="26" t="n">
        <x:f>'500件商品'!N199</x:f>
        <x:v>47</x:v>
      </x:c>
      <x:c r="J199" s="26" t="str">
        <x:f>'500件商品'!O199</x:f>
      </x:c>
      <x:c r="K199" s="26" t="n">
        <x:f>IF(H199="是",CEILING(I199/J199,1),0)</x:f>
        <x:v>0</x:v>
      </x:c>
      <x:c r="L199" s="26" t="n">
        <x:f>ROUND(I199*G199,0)</x:f>
        <x:v>47</x:v>
      </x:c>
      <x:c r="M199" s="26" t="n">
        <x:f>IF(H199="是",CEILING(L199/J199,1),0)</x:f>
        <x:v>0</x:v>
      </x:c>
      <x:c r="N199" s="26" t="n">
        <x:f>M199-K199</x:f>
        <x:v>0</x:v>
      </x:c>
      <x:c r="O199" s="24" t="str">
        <x:f>'500件商品'!Q199</x:f>
        <x:v>遠端區</x:v>
      </x:c>
      <x:c r="P199" s="26" t="n">
        <x:f>'500件商品'!R199</x:f>
        <x:v>58</x:v>
      </x:c>
      <x:c r="Q199" s="24" t="str">
        <x:f>IF(H199="否","非棧板管理",IF(AND(E199="是",N199&gt;0),"季節彈性前移區",IF(OR(C199="Cluster 3",D199&gt;=55),"近端低層棧板區",IF(C199="Cluster 2","中段大貨位",IF(C199="Cluster 4","遠端彈性儲位","中段棧板區")))))</x:f>
        <x:v>非棧板管理</x:v>
      </x:c>
      <x:c r="R199" s="24" t="str">
        <x:f>IF(AND(H199="是",E199="是",N199&gt;0),"是","否")</x:f>
        <x:v>否</x:v>
      </x:c>
      <x:c r="S199" s="24" t="str">
        <x:f>IF(H199="否","非本次棧板儲位分析對象",IF(R199="是","旺季前需前移並增加棧板位",IF(N199&gt;0,"需增加棧板位",IF(N199&lt;0,"可釋放部分棧板位","維持現況"))))</x:f>
        <x:v>非本次棧板儲位分析對象</x:v>
      </x:c>
    </x:row>
    <x:row r="200">
      <x:c r="A200" s="24" t="str">
        <x:f>'500件商品'!A200</x:f>
        <x:v>PX0196</x:v>
      </x:c>
      <x:c r="B200" s="24" t="str">
        <x:f>'500件商品'!B200</x:f>
        <x:v>雨衣組-標準箱</x:v>
      </x:c>
      <x:c r="C200" s="24" t="str">
        <x:f>'500件商品'!D200</x:f>
        <x:v>Cluster 4</x:v>
      </x:c>
      <x:c r="D200" s="26" t="n">
        <x:f>'500件商品'!F200</x:f>
        <x:v>17</x:v>
      </x:c>
      <x:c r="E200" s="24" t="str">
        <x:f>'500件商品'!K200</x:f>
        <x:v>是</x:v>
      </x:c>
      <x:c r="F200" s="24" t="str">
        <x:f>'500件商品'!L200</x:f>
        <x:v>5-8月</x:v>
      </x:c>
      <x:c r="G200" s="28" t="n">
        <x:f>'500件商品'!M200</x:f>
        <x:v>3</x:v>
      </x:c>
      <x:c r="H200" s="24" t="str">
        <x:f>'500件商品'!P200</x:f>
        <x:v>是</x:v>
      </x:c>
      <x:c r="I200" s="26" t="n">
        <x:f>'500件商品'!N200</x:f>
        <x:v>61</x:v>
      </x:c>
      <x:c r="J200" s="26" t="n">
        <x:f>'500件商品'!O200</x:f>
        <x:v>36</x:v>
      </x:c>
      <x:c r="K200" s="26" t="n">
        <x:f>IF(H200="是",CEILING(I200/J200,1),0)</x:f>
        <x:v>2</x:v>
      </x:c>
      <x:c r="L200" s="26" t="n">
        <x:f>ROUND(I200*G200,0)</x:f>
        <x:v>183</x:v>
      </x:c>
      <x:c r="M200" s="26" t="n">
        <x:f>IF(H200="是",CEILING(L200/J200,1),0)</x:f>
        <x:v>6</x:v>
      </x:c>
      <x:c r="N200" s="26" t="n">
        <x:f>M200-K200</x:f>
        <x:v>4</x:v>
      </x:c>
      <x:c r="O200" s="24" t="str">
        <x:f>'500件商品'!Q200</x:f>
        <x:v>彈性區</x:v>
      </x:c>
      <x:c r="P200" s="26" t="n">
        <x:f>'500件商品'!R200</x:f>
        <x:v>55</x:v>
      </x:c>
      <x:c r="Q200" s="24" t="str">
        <x:f>IF(H200="否","非棧板管理",IF(AND(E200="是",N200&gt;0),"季節彈性前移區",IF(OR(C200="Cluster 3",D200&gt;=55),"近端低層棧板區",IF(C200="Cluster 2","中段大貨位",IF(C200="Cluster 4","遠端彈性儲位","中段棧板區")))))</x:f>
        <x:v>季節彈性前移區</x:v>
      </x:c>
      <x:c r="R200" s="24" t="str">
        <x:f>IF(AND(H200="是",E200="是",N200&gt;0),"是","否")</x:f>
        <x:v>是</x:v>
      </x:c>
      <x:c r="S200" s="24" t="str">
        <x:f>IF(H200="否","非本次棧板儲位分析對象",IF(R200="是","旺季前需前移並增加棧板位",IF(N200&gt;0,"需增加棧板位",IF(N200&lt;0,"可釋放部分棧板位","維持現況"))))</x:f>
        <x:v>旺季前需前移並增加棧板位</x:v>
      </x:c>
    </x:row>
    <x:row r="201">
      <x:c r="A201" s="24" t="str">
        <x:f>'500件商品'!A201</x:f>
        <x:v>PX0197</x:v>
      </x:c>
      <x:c r="B201" s="24" t="str">
        <x:f>'500件商品'!B201</x:f>
        <x:v>沐浴乳-標準箱</x:v>
      </x:c>
      <x:c r="C201" s="24" t="str">
        <x:f>'500件商品'!D201</x:f>
        <x:v>Cluster 1</x:v>
      </x:c>
      <x:c r="D201" s="26" t="n">
        <x:f>'500件商品'!F201</x:f>
        <x:v>6</x:v>
      </x:c>
      <x:c r="E201" s="24" t="str">
        <x:f>'500件商品'!K201</x:f>
        <x:v>否</x:v>
      </x:c>
      <x:c r="F201" s="24" t="str">
        <x:f>'500件商品'!L201</x:f>
      </x:c>
      <x:c r="G201" s="28" t="n">
        <x:f>'500件商品'!M201</x:f>
        <x:v>1.1</x:v>
      </x:c>
      <x:c r="H201" s="24" t="str">
        <x:f>'500件商品'!P201</x:f>
        <x:v>是</x:v>
      </x:c>
      <x:c r="I201" s="26" t="n">
        <x:f>'500件商品'!N201</x:f>
        <x:v>19</x:v>
      </x:c>
      <x:c r="J201" s="26" t="n">
        <x:f>'500件商品'!O201</x:f>
        <x:v>72</x:v>
      </x:c>
      <x:c r="K201" s="26" t="n">
        <x:f>IF(H201="是",CEILING(I201/J201,1),0)</x:f>
        <x:v>1</x:v>
      </x:c>
      <x:c r="L201" s="26" t="n">
        <x:f>ROUND(I201*G201,0)</x:f>
        <x:v>21</x:v>
      </x:c>
      <x:c r="M201" s="26" t="n">
        <x:f>IF(H201="是",CEILING(L201/J201,1),0)</x:f>
        <x:v>1</x:v>
      </x:c>
      <x:c r="N201" s="26" t="n">
        <x:f>M201-K201</x:f>
        <x:v>0</x:v>
      </x:c>
      <x:c r="O201" s="24" t="str">
        <x:f>'500件商品'!Q201</x:f>
        <x:v>1區</x:v>
      </x:c>
      <x:c r="P201" s="26" t="n">
        <x:f>'500件商品'!R201</x:f>
        <x:v>25</x:v>
      </x:c>
      <x:c r="Q201" s="24" t="str">
        <x:f>IF(H201="否","非棧板管理",IF(AND(E201="是",N201&gt;0),"季節彈性前移區",IF(OR(C201="Cluster 3",D201&gt;=55),"近端低層棧板區",IF(C201="Cluster 2","中段大貨位",IF(C201="Cluster 4","遠端彈性儲位","中段棧板區")))))</x:f>
        <x:v>中段棧板區</x:v>
      </x:c>
      <x:c r="R201" s="24" t="str">
        <x:f>IF(AND(H201="是",E201="是",N201&gt;0),"是","否")</x:f>
        <x:v>否</x:v>
      </x:c>
      <x:c r="S201" s="24" t="str">
        <x:f>IF(H201="否","非本次棧板儲位分析對象",IF(R201="是","旺季前需前移並增加棧板位",IF(N201&gt;0,"需增加棧板位",IF(N201&lt;0,"可釋放部分棧板位","維持現況"))))</x:f>
        <x:v>維持現況</x:v>
      </x:c>
    </x:row>
    <x:row r="202">
      <x:c r="A202" s="24" t="str">
        <x:f>'500件商品'!A202</x:f>
        <x:v>PX0198</x:v>
      </x:c>
      <x:c r="B202" s="24" t="str">
        <x:f>'500件商品'!B202</x:f>
        <x:v>沐浴乳-標準箱</x:v>
      </x:c>
      <x:c r="C202" s="24" t="str">
        <x:f>'500件商品'!D202</x:f>
        <x:v>Cluster 2</x:v>
      </x:c>
      <x:c r="D202" s="26" t="n">
        <x:f>'500件商品'!F202</x:f>
        <x:v>47</x:v>
      </x:c>
      <x:c r="E202" s="24" t="str">
        <x:f>'500件商品'!K202</x:f>
        <x:v>否</x:v>
      </x:c>
      <x:c r="F202" s="24" t="str">
        <x:f>'500件商品'!L202</x:f>
      </x:c>
      <x:c r="G202" s="28" t="n">
        <x:f>'500件商品'!M202</x:f>
        <x:v>1</x:v>
      </x:c>
      <x:c r="H202" s="24" t="str">
        <x:f>'500件商品'!P202</x:f>
        <x:v>是</x:v>
      </x:c>
      <x:c r="I202" s="26" t="n">
        <x:f>'500件商品'!N202</x:f>
        <x:v>237</x:v>
      </x:c>
      <x:c r="J202" s="26" t="n">
        <x:f>'500件商品'!O202</x:f>
        <x:v>30</x:v>
      </x:c>
      <x:c r="K202" s="26" t="n">
        <x:f>IF(H202="是",CEILING(I202/J202,1),0)</x:f>
        <x:v>8</x:v>
      </x:c>
      <x:c r="L202" s="26" t="n">
        <x:f>ROUND(I202*G202,0)</x:f>
        <x:v>237</x:v>
      </x:c>
      <x:c r="M202" s="26" t="n">
        <x:f>IF(H202="是",CEILING(L202/J202,1),0)</x:f>
        <x:v>8</x:v>
      </x:c>
      <x:c r="N202" s="26" t="n">
        <x:f>M202-K202</x:f>
        <x:v>0</x:v>
      </x:c>
      <x:c r="O202" s="24" t="str">
        <x:f>'500件商品'!Q202</x:f>
        <x:v>遠端區</x:v>
      </x:c>
      <x:c r="P202" s="26" t="n">
        <x:f>'500件商品'!R202</x:f>
        <x:v>69</x:v>
      </x:c>
      <x:c r="Q202" s="24" t="str">
        <x:f>IF(H202="否","非棧板管理",IF(AND(E202="是",N202&gt;0),"季節彈性前移區",IF(OR(C202="Cluster 3",D202&gt;=55),"近端低層棧板區",IF(C202="Cluster 2","中段大貨位",IF(C202="Cluster 4","遠端彈性儲位","中段棧板區")))))</x:f>
        <x:v>中段大貨位</x:v>
      </x:c>
      <x:c r="R202" s="24" t="str">
        <x:f>IF(AND(H202="是",E202="是",N202&gt;0),"是","否")</x:f>
        <x:v>否</x:v>
      </x:c>
      <x:c r="S202" s="24" t="str">
        <x:f>IF(H202="否","非本次棧板儲位分析對象",IF(R202="是","旺季前需前移並增加棧板位",IF(N202&gt;0,"需增加棧板位",IF(N202&lt;0,"可釋放部分棧板位","維持現況"))))</x:f>
        <x:v>維持現況</x:v>
      </x:c>
    </x:row>
    <x:row r="203">
      <x:c r="A203" s="24" t="str">
        <x:f>'500件商品'!A203</x:f>
        <x:v>PX0199</x:v>
      </x:c>
      <x:c r="B203" s="24" t="str">
        <x:f>'500件商品'!B203</x:f>
        <x:v>柔軟精-標準箱</x:v>
      </x:c>
      <x:c r="C203" s="24" t="str">
        <x:f>'500件商品'!D203</x:f>
        <x:v>Cluster 1</x:v>
      </x:c>
      <x:c r="D203" s="26" t="n">
        <x:f>'500件商品'!F203</x:f>
        <x:v>4</x:v>
      </x:c>
      <x:c r="E203" s="24" t="str">
        <x:f>'500件商品'!K203</x:f>
        <x:v>否</x:v>
      </x:c>
      <x:c r="F203" s="24" t="str">
        <x:f>'500件商品'!L203</x:f>
      </x:c>
      <x:c r="G203" s="28" t="n">
        <x:f>'500件商品'!M203</x:f>
        <x:v>1.1</x:v>
      </x:c>
      <x:c r="H203" s="24" t="str">
        <x:f>'500件商品'!P203</x:f>
        <x:v>是</x:v>
      </x:c>
      <x:c r="I203" s="26" t="n">
        <x:f>'500件商品'!N203</x:f>
        <x:v>24</x:v>
      </x:c>
      <x:c r="J203" s="26" t="n">
        <x:f>'500件商品'!O203</x:f>
        <x:v>72</x:v>
      </x:c>
      <x:c r="K203" s="26" t="n">
        <x:f>IF(H203="是",CEILING(I203/J203,1),0)</x:f>
        <x:v>1</x:v>
      </x:c>
      <x:c r="L203" s="26" t="n">
        <x:f>ROUND(I203*G203,0)</x:f>
        <x:v>26</x:v>
      </x:c>
      <x:c r="M203" s="26" t="n">
        <x:f>IF(H203="是",CEILING(L203/J203,1),0)</x:f>
        <x:v>1</x:v>
      </x:c>
      <x:c r="N203" s="26" t="n">
        <x:f>M203-K203</x:f>
        <x:v>0</x:v>
      </x:c>
      <x:c r="O203" s="24" t="str">
        <x:f>'500件商品'!Q203</x:f>
        <x:v>3區</x:v>
      </x:c>
      <x:c r="P203" s="26" t="n">
        <x:f>'500件商品'!R203</x:f>
        <x:v>36</x:v>
      </x:c>
      <x:c r="Q203" s="24" t="str">
        <x:f>IF(H203="否","非棧板管理",IF(AND(E203="是",N203&gt;0),"季節彈性前移區",IF(OR(C203="Cluster 3",D203&gt;=55),"近端低層棧板區",IF(C203="Cluster 2","中段大貨位",IF(C203="Cluster 4","遠端彈性儲位","中段棧板區")))))</x:f>
        <x:v>中段棧板區</x:v>
      </x:c>
      <x:c r="R203" s="24" t="str">
        <x:f>IF(AND(H203="是",E203="是",N203&gt;0),"是","否")</x:f>
        <x:v>否</x:v>
      </x:c>
      <x:c r="S203" s="24" t="str">
        <x:f>IF(H203="否","非本次棧板儲位分析對象",IF(R203="是","旺季前需前移並增加棧板位",IF(N203&gt;0,"需增加棧板位",IF(N203&lt;0,"可釋放部分棧板位","維持現況"))))</x:f>
        <x:v>維持現況</x:v>
      </x:c>
    </x:row>
    <x:row r="204">
      <x:c r="A204" s="24" t="str">
        <x:f>'500件商品'!A204</x:f>
        <x:v>PX0200</x:v>
      </x:c>
      <x:c r="B204" s="24" t="str">
        <x:f>'500件商品'!B204</x:f>
        <x:v>衣架組-促銷組</x:v>
      </x:c>
      <x:c r="C204" s="24" t="str">
        <x:f>'500件商品'!D204</x:f>
        <x:v>Cluster 5</x:v>
      </x:c>
      <x:c r="D204" s="26" t="n">
        <x:f>'500件商品'!F204</x:f>
        <x:v>13</x:v>
      </x:c>
      <x:c r="E204" s="24" t="str">
        <x:f>'500件商品'!K204</x:f>
        <x:v>否</x:v>
      </x:c>
      <x:c r="F204" s="24" t="str">
        <x:f>'500件商品'!L204</x:f>
      </x:c>
      <x:c r="G204" s="28" t="n">
        <x:f>'500件商品'!M204</x:f>
        <x:v>1</x:v>
      </x:c>
      <x:c r="H204" s="24" t="str">
        <x:f>'500件商品'!P204</x:f>
        <x:v>否</x:v>
      </x:c>
      <x:c r="I204" s="26" t="n">
        <x:f>'500件商品'!N204</x:f>
        <x:v>48</x:v>
      </x:c>
      <x:c r="J204" s="26" t="str">
        <x:f>'500件商品'!O204</x:f>
      </x:c>
      <x:c r="K204" s="26" t="n">
        <x:f>IF(H204="是",CEILING(I204/J204,1),0)</x:f>
        <x:v>0</x:v>
      </x:c>
      <x:c r="L204" s="26" t="n">
        <x:f>ROUND(I204*G204,0)</x:f>
        <x:v>48</x:v>
      </x:c>
      <x:c r="M204" s="26" t="n">
        <x:f>IF(H204="是",CEILING(L204/J204,1),0)</x:f>
        <x:v>0</x:v>
      </x:c>
      <x:c r="N204" s="26" t="n">
        <x:f>M204-K204</x:f>
        <x:v>0</x:v>
      </x:c>
      <x:c r="O204" s="24" t="str">
        <x:f>'500件商品'!Q204</x:f>
        <x:v>1區</x:v>
      </x:c>
      <x:c r="P204" s="26" t="n">
        <x:f>'500件商品'!R204</x:f>
        <x:v>28</x:v>
      </x:c>
      <x:c r="Q204" s="24" t="str">
        <x:f>IF(H204="否","非棧板管理",IF(AND(E204="是",N204&gt;0),"季節彈性前移區",IF(OR(C204="Cluster 3",D204&gt;=55),"近端低層棧板區",IF(C204="Cluster 2","中段大貨位",IF(C204="Cluster 4","遠端彈性儲位","中段棧板區")))))</x:f>
        <x:v>非棧板管理</x:v>
      </x:c>
      <x:c r="R204" s="24" t="str">
        <x:f>IF(AND(H204="是",E204="是",N204&gt;0),"是","否")</x:f>
        <x:v>否</x:v>
      </x:c>
      <x:c r="S204" s="24" t="str">
        <x:f>IF(H204="否","非本次棧板儲位分析對象",IF(R204="是","旺季前需前移並增加棧板位",IF(N204&gt;0,"需增加棧板位",IF(N204&lt;0,"可釋放部分棧板位","維持現況"))))</x:f>
        <x:v>非本次棧板儲位分析對象</x:v>
      </x:c>
    </x:row>
    <x:row r="205">
      <x:c r="A205" s="24" t="str">
        <x:f>'500件商品'!A205</x:f>
        <x:v>PX0201</x:v>
      </x:c>
      <x:c r="B205" s="24" t="str">
        <x:f>'500件商品'!B205</x:f>
        <x:v>年節禮盒組-箱裝</x:v>
      </x:c>
      <x:c r="C205" s="24" t="str">
        <x:f>'500件商品'!D205</x:f>
        <x:v>Cluster 4</x:v>
      </x:c>
      <x:c r="D205" s="26" t="n">
        <x:f>'500件商品'!F205</x:f>
        <x:v>68</x:v>
      </x:c>
      <x:c r="E205" s="24" t="str">
        <x:f>'500件商品'!K205</x:f>
        <x:v>是</x:v>
      </x:c>
      <x:c r="F205" s="24" t="str">
        <x:f>'500件商品'!L205</x:f>
        <x:v>1-2月</x:v>
      </x:c>
      <x:c r="G205" s="28" t="n">
        <x:f>'500件商品'!M205</x:f>
        <x:v>2</x:v>
      </x:c>
      <x:c r="H205" s="24" t="str">
        <x:f>'500件商品'!P205</x:f>
        <x:v>是</x:v>
      </x:c>
      <x:c r="I205" s="26" t="n">
        <x:f>'500件商品'!N205</x:f>
        <x:v>735</x:v>
      </x:c>
      <x:c r="J205" s="26" t="n">
        <x:f>'500件商品'!O205</x:f>
        <x:v>24</x:v>
      </x:c>
      <x:c r="K205" s="26" t="n">
        <x:f>IF(H205="是",CEILING(I205/J205,1),0)</x:f>
        <x:v>31</x:v>
      </x:c>
      <x:c r="L205" s="26" t="n">
        <x:f>ROUND(I205*G205,0)</x:f>
        <x:v>1470</x:v>
      </x:c>
      <x:c r="M205" s="26" t="n">
        <x:f>IF(H205="是",CEILING(L205/J205,1),0)</x:f>
        <x:v>62</x:v>
      </x:c>
      <x:c r="N205" s="26" t="n">
        <x:f>M205-K205</x:f>
        <x:v>31</x:v>
      </x:c>
      <x:c r="O205" s="24" t="str">
        <x:f>'500件商品'!Q205</x:f>
        <x:v>彈性區</x:v>
      </x:c>
      <x:c r="P205" s="26" t="n">
        <x:f>'500件商品'!R205</x:f>
        <x:v>50</x:v>
      </x:c>
      <x:c r="Q205" s="24" t="str">
        <x:f>IF(H205="否","非棧板管理",IF(AND(E205="是",N205&gt;0),"季節彈性前移區",IF(OR(C205="Cluster 3",D205&gt;=55),"近端低層棧板區",IF(C205="Cluster 2","中段大貨位",IF(C205="Cluster 4","遠端彈性儲位","中段棧板區")))))</x:f>
        <x:v>季節彈性前移區</x:v>
      </x:c>
      <x:c r="R205" s="24" t="str">
        <x:f>IF(AND(H205="是",E205="是",N205&gt;0),"是","否")</x:f>
        <x:v>是</x:v>
      </x:c>
      <x:c r="S205" s="24" t="str">
        <x:f>IF(H205="否","非本次棧板儲位分析對象",IF(R205="是","旺季前需前移並增加棧板位",IF(N205&gt;0,"需增加棧板位",IF(N205&lt;0,"可釋放部分棧板位","維持現況"))))</x:f>
        <x:v>旺季前需前移並增加棧板位</x:v>
      </x:c>
    </x:row>
    <x:row r="206">
      <x:c r="A206" s="24" t="str">
        <x:f>'500件商品'!A206</x:f>
        <x:v>PX0202</x:v>
      </x:c>
      <x:c r="B206" s="24" t="str">
        <x:f>'500件商品'!B206</x:f>
        <x:v>抹布組-箱裝</x:v>
      </x:c>
      <x:c r="C206" s="24" t="str">
        <x:f>'500件商品'!D206</x:f>
        <x:v>Cluster 5</x:v>
      </x:c>
      <x:c r="D206" s="26" t="n">
        <x:f>'500件商品'!F206</x:f>
        <x:v>62</x:v>
      </x:c>
      <x:c r="E206" s="24" t="str">
        <x:f>'500件商品'!K206</x:f>
        <x:v>否</x:v>
      </x:c>
      <x:c r="F206" s="24" t="str">
        <x:f>'500件商品'!L206</x:f>
      </x:c>
      <x:c r="G206" s="28" t="n">
        <x:f>'500件商品'!M206</x:f>
        <x:v>1.1</x:v>
      </x:c>
      <x:c r="H206" s="24" t="str">
        <x:f>'500件商品'!P206</x:f>
        <x:v>是</x:v>
      </x:c>
      <x:c r="I206" s="26" t="n">
        <x:f>'500件商品'!N206</x:f>
        <x:v>322</x:v>
      </x:c>
      <x:c r="J206" s="26" t="n">
        <x:f>'500件商品'!O206</x:f>
        <x:v>72</x:v>
      </x:c>
      <x:c r="K206" s="26" t="n">
        <x:f>IF(H206="是",CEILING(I206/J206,1),0)</x:f>
        <x:v>5</x:v>
      </x:c>
      <x:c r="L206" s="26" t="n">
        <x:f>ROUND(I206*G206,0)</x:f>
        <x:v>354</x:v>
      </x:c>
      <x:c r="M206" s="26" t="n">
        <x:f>IF(H206="是",CEILING(L206/J206,1),0)</x:f>
        <x:v>5</x:v>
      </x:c>
      <x:c r="N206" s="26" t="n">
        <x:f>M206-K206</x:f>
        <x:v>0</x:v>
      </x:c>
      <x:c r="O206" s="24" t="str">
        <x:f>'500件商品'!Q206</x:f>
        <x:v>3區</x:v>
      </x:c>
      <x:c r="P206" s="26" t="n">
        <x:f>'500件商品'!R206</x:f>
        <x:v>37</x:v>
      </x:c>
      <x:c r="Q206" s="24" t="str">
        <x:f>IF(H206="否","非棧板管理",IF(AND(E206="是",N206&gt;0),"季節彈性前移區",IF(OR(C206="Cluster 3",D206&gt;=55),"近端低層棧板區",IF(C206="Cluster 2","中段大貨位",IF(C206="Cluster 4","遠端彈性儲位","中段棧板區")))))</x:f>
        <x:v>近端低層棧板區</x:v>
      </x:c>
      <x:c r="R206" s="24" t="str">
        <x:f>IF(AND(H206="是",E206="是",N206&gt;0),"是","否")</x:f>
        <x:v>否</x:v>
      </x:c>
      <x:c r="S206" s="24" t="str">
        <x:f>IF(H206="否","非本次棧板儲位分析對象",IF(R206="是","旺季前需前移並增加棧板位",IF(N206&gt;0,"需增加棧板位",IF(N206&lt;0,"可釋放部分棧板位","維持現況"))))</x:f>
        <x:v>維持現況</x:v>
      </x:c>
    </x:row>
    <x:row r="207">
      <x:c r="A207" s="24" t="str">
        <x:f>'500件商品'!A207</x:f>
        <x:v>PX0203</x:v>
      </x:c>
      <x:c r="B207" s="24" t="str">
        <x:f>'500件商品'!B207</x:f>
        <x:v>咖哩塊箱-小包裝</x:v>
      </x:c>
      <x:c r="C207" s="24" t="str">
        <x:f>'500件商品'!D207</x:f>
        <x:v>Cluster 5</x:v>
      </x:c>
      <x:c r="D207" s="26" t="n">
        <x:f>'500件商品'!F207</x:f>
        <x:v>50</x:v>
      </x:c>
      <x:c r="E207" s="24" t="str">
        <x:f>'500件商品'!K207</x:f>
        <x:v>否</x:v>
      </x:c>
      <x:c r="F207" s="24" t="str">
        <x:f>'500件商品'!L207</x:f>
      </x:c>
      <x:c r="G207" s="28" t="n">
        <x:f>'500件商品'!M207</x:f>
        <x:v>1</x:v>
      </x:c>
      <x:c r="H207" s="24" t="str">
        <x:f>'500件商品'!P207</x:f>
        <x:v>是</x:v>
      </x:c>
      <x:c r="I207" s="26" t="n">
        <x:f>'500件商品'!N207</x:f>
        <x:v>167</x:v>
      </x:c>
      <x:c r="J207" s="26" t="n">
        <x:f>'500件商品'!O207</x:f>
        <x:v>72</x:v>
      </x:c>
      <x:c r="K207" s="26" t="n">
        <x:f>IF(H207="是",CEILING(I207/J207,1),0)</x:f>
        <x:v>3</x:v>
      </x:c>
      <x:c r="L207" s="26" t="n">
        <x:f>ROUND(I207*G207,0)</x:f>
        <x:v>167</x:v>
      </x:c>
      <x:c r="M207" s="26" t="n">
        <x:f>IF(H207="是",CEILING(L207/J207,1),0)</x:f>
        <x:v>3</x:v>
      </x:c>
      <x:c r="N207" s="26" t="n">
        <x:f>M207-K207</x:f>
        <x:v>0</x:v>
      </x:c>
      <x:c r="O207" s="24" t="str">
        <x:f>'500件商品'!Q207</x:f>
        <x:v>1區</x:v>
      </x:c>
      <x:c r="P207" s="26" t="n">
        <x:f>'500件商品'!R207</x:f>
        <x:v>41</x:v>
      </x:c>
      <x:c r="Q207" s="24" t="str">
        <x:f>IF(H207="否","非棧板管理",IF(AND(E207="是",N207&gt;0),"季節彈性前移區",IF(OR(C207="Cluster 3",D207&gt;=55),"近端低層棧板區",IF(C207="Cluster 2","中段大貨位",IF(C207="Cluster 4","遠端彈性儲位","中段棧板區")))))</x:f>
        <x:v>中段棧板區</x:v>
      </x:c>
      <x:c r="R207" s="24" t="str">
        <x:f>IF(AND(H207="是",E207="是",N207&gt;0),"是","否")</x:f>
        <x:v>否</x:v>
      </x:c>
      <x:c r="S207" s="24" t="str">
        <x:f>IF(H207="否","非本次棧板儲位分析對象",IF(R207="是","旺季前需前移並增加棧板位",IF(N207&gt;0,"需增加棧板位",IF(N207&lt;0,"可釋放部分棧板位","維持現況"))))</x:f>
        <x:v>維持現況</x:v>
      </x:c>
    </x:row>
    <x:row r="208">
      <x:c r="A208" s="24" t="str">
        <x:f>'500件商品'!A208</x:f>
        <x:v>PX0204</x:v>
      </x:c>
      <x:c r="B208" s="24" t="str">
        <x:f>'500件商品'!B208</x:f>
        <x:v>寵物尿布墊-標準箱</x:v>
      </x:c>
      <x:c r="C208" s="24" t="str">
        <x:f>'500件商品'!D208</x:f>
        <x:v>Cluster 2</x:v>
      </x:c>
      <x:c r="D208" s="26" t="n">
        <x:f>'500件商品'!F208</x:f>
        <x:v>18</x:v>
      </x:c>
      <x:c r="E208" s="24" t="str">
        <x:f>'500件商品'!K208</x:f>
        <x:v>否</x:v>
      </x:c>
      <x:c r="F208" s="24" t="str">
        <x:f>'500件商品'!L208</x:f>
      </x:c>
      <x:c r="G208" s="28" t="n">
        <x:f>'500件商品'!M208</x:f>
        <x:v>1</x:v>
      </x:c>
      <x:c r="H208" s="24" t="str">
        <x:f>'500件商品'!P208</x:f>
        <x:v>是</x:v>
      </x:c>
      <x:c r="I208" s="26" t="n">
        <x:f>'500件商品'!N208</x:f>
        <x:v>97</x:v>
      </x:c>
      <x:c r="J208" s="26" t="n">
        <x:f>'500件商品'!O208</x:f>
        <x:v>18</x:v>
      </x:c>
      <x:c r="K208" s="26" t="n">
        <x:f>IF(H208="是",CEILING(I208/J208,1),0)</x:f>
        <x:v>6</x:v>
      </x:c>
      <x:c r="L208" s="26" t="n">
        <x:f>ROUND(I208*G208,0)</x:f>
        <x:v>97</x:v>
      </x:c>
      <x:c r="M208" s="26" t="n">
        <x:f>IF(H208="是",CEILING(L208/J208,1),0)</x:f>
        <x:v>6</x:v>
      </x:c>
      <x:c r="N208" s="26" t="n">
        <x:f>M208-K208</x:f>
        <x:v>0</x:v>
      </x:c>
      <x:c r="O208" s="24" t="str">
        <x:f>'500件商品'!Q208</x:f>
        <x:v>1區</x:v>
      </x:c>
      <x:c r="P208" s="26" t="n">
        <x:f>'500件商品'!R208</x:f>
        <x:v>30</x:v>
      </x:c>
      <x:c r="Q208" s="24" t="str">
        <x:f>IF(H208="否","非棧板管理",IF(AND(E208="是",N208&gt;0),"季節彈性前移區",IF(OR(C208="Cluster 3",D208&gt;=55),"近端低層棧板區",IF(C208="Cluster 2","中段大貨位",IF(C208="Cluster 4","遠端彈性儲位","中段棧板區")))))</x:f>
        <x:v>中段大貨位</x:v>
      </x:c>
      <x:c r="R208" s="24" t="str">
        <x:f>IF(AND(H208="是",E208="是",N208&gt;0),"是","否")</x:f>
        <x:v>否</x:v>
      </x:c>
      <x:c r="S208" s="24" t="str">
        <x:f>IF(H208="否","非本次棧板儲位分析對象",IF(R208="是","旺季前需前移並增加棧板位",IF(N208&gt;0,"需增加棧板位",IF(N208&lt;0,"可釋放部分棧板位","維持現況"))))</x:f>
        <x:v>維持現況</x:v>
      </x:c>
    </x:row>
    <x:row r="209">
      <x:c r="A209" s="24" t="str">
        <x:f>'500件商品'!A209</x:f>
        <x:v>PX0205</x:v>
      </x:c>
      <x:c r="B209" s="24" t="str">
        <x:f>'500件商品'!B209</x:f>
        <x:v>備用耗材-箱裝</x:v>
      </x:c>
      <x:c r="C209" s="24" t="str">
        <x:f>'500件商品'!D209</x:f>
        <x:v>Cluster 5</x:v>
      </x:c>
      <x:c r="D209" s="26" t="n">
        <x:f>'500件商品'!F209</x:f>
        <x:v>44</x:v>
      </x:c>
      <x:c r="E209" s="24" t="str">
        <x:f>'500件商品'!K209</x:f>
        <x:v>否</x:v>
      </x:c>
      <x:c r="F209" s="24" t="str">
        <x:f>'500件商品'!L209</x:f>
      </x:c>
      <x:c r="G209" s="28" t="n">
        <x:f>'500件商品'!M209</x:f>
        <x:v>1.1</x:v>
      </x:c>
      <x:c r="H209" s="24" t="str">
        <x:f>'500件商品'!P209</x:f>
        <x:v>是</x:v>
      </x:c>
      <x:c r="I209" s="26" t="n">
        <x:f>'500件商品'!N209</x:f>
        <x:v>207</x:v>
      </x:c>
      <x:c r="J209" s="26" t="n">
        <x:f>'500件商品'!O209</x:f>
        <x:v>60</x:v>
      </x:c>
      <x:c r="K209" s="26" t="n">
        <x:f>IF(H209="是",CEILING(I209/J209,1),0)</x:f>
        <x:v>4</x:v>
      </x:c>
      <x:c r="L209" s="26" t="n">
        <x:f>ROUND(I209*G209,0)</x:f>
        <x:v>228</x:v>
      </x:c>
      <x:c r="M209" s="26" t="n">
        <x:f>IF(H209="是",CEILING(L209/J209,1),0)</x:f>
        <x:v>4</x:v>
      </x:c>
      <x:c r="N209" s="26" t="n">
        <x:f>M209-K209</x:f>
        <x:v>0</x:v>
      </x:c>
      <x:c r="O209" s="24" t="str">
        <x:f>'500件商品'!Q209</x:f>
        <x:v>3區</x:v>
      </x:c>
      <x:c r="P209" s="26" t="n">
        <x:f>'500件商品'!R209</x:f>
        <x:v>38</x:v>
      </x:c>
      <x:c r="Q209" s="24" t="str">
        <x:f>IF(H209="否","非棧板管理",IF(AND(E209="是",N209&gt;0),"季節彈性前移區",IF(OR(C209="Cluster 3",D209&gt;=55),"近端低層棧板區",IF(C209="Cluster 2","中段大貨位",IF(C209="Cluster 4","遠端彈性儲位","中段棧板區")))))</x:f>
        <x:v>中段棧板區</x:v>
      </x:c>
      <x:c r="R209" s="24" t="str">
        <x:f>IF(AND(H209="是",E209="是",N209&gt;0),"是","否")</x:f>
        <x:v>否</x:v>
      </x:c>
      <x:c r="S209" s="24" t="str">
        <x:f>IF(H209="否","非本次棧板儲位分析對象",IF(R209="是","旺季前需前移並增加棧板位",IF(N209&gt;0,"需增加棧板位",IF(N209&lt;0,"可釋放部分棧板位","維持現況"))))</x:f>
        <x:v>維持現況</x:v>
      </x:c>
    </x:row>
    <x:row r="210">
      <x:c r="A210" s="24" t="str">
        <x:f>'500件商品'!A210</x:f>
        <x:v>PX0206</x:v>
      </x:c>
      <x:c r="B210" s="24" t="str">
        <x:f>'500件商品'!B210</x:f>
        <x:v>瓶裝水600ml-促銷組</x:v>
      </x:c>
      <x:c r="C210" s="24" t="str">
        <x:f>'500件商品'!D210</x:f>
        <x:v>Cluster 1</x:v>
      </x:c>
      <x:c r="D210" s="26" t="n">
        <x:f>'500件商品'!F210</x:f>
        <x:v>9</x:v>
      </x:c>
      <x:c r="E210" s="24" t="str">
        <x:f>'500件商品'!K210</x:f>
        <x:v>否</x:v>
      </x:c>
      <x:c r="F210" s="24" t="str">
        <x:f>'500件商品'!L210</x:f>
      </x:c>
      <x:c r="G210" s="28" t="n">
        <x:f>'500件商品'!M210</x:f>
        <x:v>1.5</x:v>
      </x:c>
      <x:c r="H210" s="24" t="str">
        <x:f>'500件商品'!P210</x:f>
        <x:v>是</x:v>
      </x:c>
      <x:c r="I210" s="26" t="n">
        <x:f>'500件商品'!N210</x:f>
        <x:v>38</x:v>
      </x:c>
      <x:c r="J210" s="26" t="n">
        <x:f>'500件商品'!O210</x:f>
        <x:v>32</x:v>
      </x:c>
      <x:c r="K210" s="26" t="n">
        <x:f>IF(H210="是",CEILING(I210/J210,1),0)</x:f>
        <x:v>2</x:v>
      </x:c>
      <x:c r="L210" s="26" t="n">
        <x:f>ROUND(I210*G210,0)</x:f>
        <x:v>57</x:v>
      </x:c>
      <x:c r="M210" s="26" t="n">
        <x:f>IF(H210="是",CEILING(L210/J210,1),0)</x:f>
        <x:v>2</x:v>
      </x:c>
      <x:c r="N210" s="26" t="n">
        <x:f>M210-K210</x:f>
        <x:v>0</x:v>
      </x:c>
      <x:c r="O210" s="24" t="str">
        <x:f>'500件商品'!Q210</x:f>
        <x:v>K區</x:v>
      </x:c>
      <x:c r="P210" s="26" t="n">
        <x:f>'500件商品'!R210</x:f>
        <x:v>43</x:v>
      </x:c>
      <x:c r="Q210" s="24" t="str">
        <x:f>IF(H210="否","非棧板管理",IF(AND(E210="是",N210&gt;0),"季節彈性前移區",IF(OR(C210="Cluster 3",D210&gt;=55),"近端低層棧板區",IF(C210="Cluster 2","中段大貨位",IF(C210="Cluster 4","遠端彈性儲位","中段棧板區")))))</x:f>
        <x:v>中段棧板區</x:v>
      </x:c>
      <x:c r="R210" s="24" t="str">
        <x:f>IF(AND(H210="是",E210="是",N210&gt;0),"是","否")</x:f>
        <x:v>否</x:v>
      </x:c>
      <x:c r="S210" s="24" t="str">
        <x:f>IF(H210="否","非本次棧板儲位分析對象",IF(R210="是","旺季前需前移並增加棧板位",IF(N210&gt;0,"需增加棧板位",IF(N210&lt;0,"可釋放部分棧板位","維持現況"))))</x:f>
        <x:v>維持現況</x:v>
      </x:c>
    </x:row>
    <x:row r="211">
      <x:c r="A211" s="24" t="str">
        <x:f>'500件商品'!A211</x:f>
        <x:v>PX0207</x:v>
      </x:c>
      <x:c r="B211" s="24" t="str">
        <x:f>'500件商品'!B211</x:f>
        <x:v>保鮮膜-促銷組</x:v>
      </x:c>
      <x:c r="C211" s="24" t="str">
        <x:f>'500件商品'!D211</x:f>
        <x:v>Cluster 5</x:v>
      </x:c>
      <x:c r="D211" s="26" t="n">
        <x:f>'500件商品'!F211</x:f>
        <x:v>36</x:v>
      </x:c>
      <x:c r="E211" s="24" t="str">
        <x:f>'500件商品'!K211</x:f>
        <x:v>否</x:v>
      </x:c>
      <x:c r="F211" s="24" t="str">
        <x:f>'500件商品'!L211</x:f>
      </x:c>
      <x:c r="G211" s="28" t="n">
        <x:f>'500件商品'!M211</x:f>
        <x:v>1.1</x:v>
      </x:c>
      <x:c r="H211" s="24" t="str">
        <x:f>'500件商品'!P211</x:f>
        <x:v>是</x:v>
      </x:c>
      <x:c r="I211" s="26" t="n">
        <x:f>'500件商品'!N211</x:f>
        <x:v>162</x:v>
      </x:c>
      <x:c r="J211" s="26" t="n">
        <x:f>'500件商品'!O211</x:f>
        <x:v>72</x:v>
      </x:c>
      <x:c r="K211" s="26" t="n">
        <x:f>IF(H211="是",CEILING(I211/J211,1),0)</x:f>
        <x:v>3</x:v>
      </x:c>
      <x:c r="L211" s="26" t="n">
        <x:f>ROUND(I211*G211,0)</x:f>
        <x:v>178</x:v>
      </x:c>
      <x:c r="M211" s="26" t="n">
        <x:f>IF(H211="是",CEILING(L211/J211,1),0)</x:f>
        <x:v>3</x:v>
      </x:c>
      <x:c r="N211" s="26" t="n">
        <x:f>M211-K211</x:f>
        <x:v>0</x:v>
      </x:c>
      <x:c r="O211" s="24" t="str">
        <x:f>'500件商品'!Q211</x:f>
        <x:v>3區</x:v>
      </x:c>
      <x:c r="P211" s="26" t="n">
        <x:f>'500件商品'!R211</x:f>
        <x:v>47</x:v>
      </x:c>
      <x:c r="Q211" s="24" t="str">
        <x:f>IF(H211="否","非棧板管理",IF(AND(E211="是",N211&gt;0),"季節彈性前移區",IF(OR(C211="Cluster 3",D211&gt;=55),"近端低層棧板區",IF(C211="Cluster 2","中段大貨位",IF(C211="Cluster 4","遠端彈性儲位","中段棧板區")))))</x:f>
        <x:v>中段棧板區</x:v>
      </x:c>
      <x:c r="R211" s="24" t="str">
        <x:f>IF(AND(H211="是",E211="是",N211&gt;0),"是","否")</x:f>
        <x:v>否</x:v>
      </x:c>
      <x:c r="S211" s="24" t="str">
        <x:f>IF(H211="否","非本次棧板儲位分析對象",IF(R211="是","旺季前需前移並增加棧板位",IF(N211&gt;0,"需增加棧板位",IF(N211&lt;0,"可釋放部分棧板位","維持現況"))))</x:f>
        <x:v>維持現況</x:v>
      </x:c>
    </x:row>
    <x:row r="212">
      <x:c r="A212" s="24" t="str">
        <x:f>'500件商品'!A212</x:f>
        <x:v>PX0208</x:v>
      </x:c>
      <x:c r="B212" s="24" t="str">
        <x:f>'500件商品'!B212</x:f>
        <x:v>柔軟精-標準箱</x:v>
      </x:c>
      <x:c r="C212" s="24" t="str">
        <x:f>'500件商品'!D212</x:f>
        <x:v>Cluster 1</x:v>
      </x:c>
      <x:c r="D212" s="26" t="n">
        <x:f>'500件商品'!F212</x:f>
        <x:v>35</x:v>
      </x:c>
      <x:c r="E212" s="24" t="str">
        <x:f>'500件商品'!K212</x:f>
        <x:v>否</x:v>
      </x:c>
      <x:c r="F212" s="24" t="str">
        <x:f>'500件商品'!L212</x:f>
      </x:c>
      <x:c r="G212" s="28" t="n">
        <x:f>'500件商品'!M212</x:f>
        <x:v>1</x:v>
      </x:c>
      <x:c r="H212" s="24" t="str">
        <x:f>'500件商品'!P212</x:f>
        <x:v>是</x:v>
      </x:c>
      <x:c r="I212" s="26" t="n">
        <x:f>'500件商品'!N212</x:f>
        <x:v>177</x:v>
      </x:c>
      <x:c r="J212" s="26" t="n">
        <x:f>'500件商品'!O212</x:f>
        <x:v>48</x:v>
      </x:c>
      <x:c r="K212" s="26" t="n">
        <x:f>IF(H212="是",CEILING(I212/J212,1),0)</x:f>
        <x:v>4</x:v>
      </x:c>
      <x:c r="L212" s="26" t="n">
        <x:f>ROUND(I212*G212,0)</x:f>
        <x:v>177</x:v>
      </x:c>
      <x:c r="M212" s="26" t="n">
        <x:f>IF(H212="是",CEILING(L212/J212,1),0)</x:f>
        <x:v>4</x:v>
      </x:c>
      <x:c r="N212" s="26" t="n">
        <x:f>M212-K212</x:f>
        <x:v>0</x:v>
      </x:c>
      <x:c r="O212" s="24" t="str">
        <x:f>'500件商品'!Q212</x:f>
        <x:v>1區</x:v>
      </x:c>
      <x:c r="P212" s="26" t="n">
        <x:f>'500件商品'!R212</x:f>
        <x:v>34</x:v>
      </x:c>
      <x:c r="Q212" s="24" t="str">
        <x:f>IF(H212="否","非棧板管理",IF(AND(E212="是",N212&gt;0),"季節彈性前移區",IF(OR(C212="Cluster 3",D212&gt;=55),"近端低層棧板區",IF(C212="Cluster 2","中段大貨位",IF(C212="Cluster 4","遠端彈性儲位","中段棧板區")))))</x:f>
        <x:v>中段棧板區</x:v>
      </x:c>
      <x:c r="R212" s="24" t="str">
        <x:f>IF(AND(H212="是",E212="是",N212&gt;0),"是","否")</x:f>
        <x:v>否</x:v>
      </x:c>
      <x:c r="S212" s="24" t="str">
        <x:f>IF(H212="否","非本次棧板儲位分析對象",IF(R212="是","旺季前需前移並增加棧板位",IF(N212&gt;0,"需增加棧板位",IF(N212&lt;0,"可釋放部分棧板位","維持現況"))))</x:f>
        <x:v>維持現況</x:v>
      </x:c>
    </x:row>
    <x:row r="213">
      <x:c r="A213" s="24" t="str">
        <x:f>'500件商品'!A213</x:f>
        <x:v>PX0209</x:v>
      </x:c>
      <x:c r="B213" s="24" t="str">
        <x:f>'500件商品'!B213</x:f>
        <x:v>瓶裝水600ml-小包裝</x:v>
      </x:c>
      <x:c r="C213" s="24" t="str">
        <x:f>'500件商品'!D213</x:f>
        <x:v>Cluster 1</x:v>
      </x:c>
      <x:c r="D213" s="26" t="n">
        <x:f>'500件商品'!F213</x:f>
        <x:v>3</x:v>
      </x:c>
      <x:c r="E213" s="24" t="str">
        <x:f>'500件商品'!K213</x:f>
        <x:v>否</x:v>
      </x:c>
      <x:c r="F213" s="24" t="str">
        <x:f>'500件商品'!L213</x:f>
      </x:c>
      <x:c r="G213" s="28" t="n">
        <x:f>'500件商品'!M213</x:f>
        <x:v>1.5</x:v>
      </x:c>
      <x:c r="H213" s="24" t="str">
        <x:f>'500件商品'!P213</x:f>
        <x:v>是</x:v>
      </x:c>
      <x:c r="I213" s="26" t="n">
        <x:f>'500件商品'!N213</x:f>
        <x:v>20</x:v>
      </x:c>
      <x:c r="J213" s="26" t="n">
        <x:f>'500件商品'!O213</x:f>
        <x:v>48</x:v>
      </x:c>
      <x:c r="K213" s="26" t="n">
        <x:f>IF(H213="是",CEILING(I213/J213,1),0)</x:f>
        <x:v>1</x:v>
      </x:c>
      <x:c r="L213" s="26" t="n">
        <x:f>ROUND(I213*G213,0)</x:f>
        <x:v>30</x:v>
      </x:c>
      <x:c r="M213" s="26" t="n">
        <x:f>IF(H213="是",CEILING(L213/J213,1),0)</x:f>
        <x:v>1</x:v>
      </x:c>
      <x:c r="N213" s="26" t="n">
        <x:f>M213-K213</x:f>
        <x:v>0</x:v>
      </x:c>
      <x:c r="O213" s="24" t="str">
        <x:f>'500件商品'!Q213</x:f>
        <x:v>A區</x:v>
      </x:c>
      <x:c r="P213" s="26" t="n">
        <x:f>'500件商品'!R213</x:f>
        <x:v>21</x:v>
      </x:c>
      <x:c r="Q213" s="24" t="str">
        <x:f>IF(H213="否","非棧板管理",IF(AND(E213="是",N213&gt;0),"季節彈性前移區",IF(OR(C213="Cluster 3",D213&gt;=55),"近端低層棧板區",IF(C213="Cluster 2","中段大貨位",IF(C213="Cluster 4","遠端彈性儲位","中段棧板區")))))</x:f>
        <x:v>中段棧板區</x:v>
      </x:c>
      <x:c r="R213" s="24" t="str">
        <x:f>IF(AND(H213="是",E213="是",N213&gt;0),"是","否")</x:f>
        <x:v>否</x:v>
      </x:c>
      <x:c r="S213" s="24" t="str">
        <x:f>IF(H213="否","非本次棧板儲位分析對象",IF(R213="是","旺季前需前移並增加棧板位",IF(N213&gt;0,"需增加棧板位",IF(N213&lt;0,"可釋放部分棧板位","維持現況"))))</x:f>
        <x:v>維持現況</x:v>
      </x:c>
    </x:row>
    <x:row r="214">
      <x:c r="A214" s="24" t="str">
        <x:f>'500件商品'!A214</x:f>
        <x:v>PX0210</x:v>
      </x:c>
      <x:c r="B214" s="24" t="str">
        <x:f>'500件商品'!B214</x:f>
        <x:v>浴廁清潔劑-標準箱</x:v>
      </x:c>
      <x:c r="C214" s="24" t="str">
        <x:f>'500件商品'!D214</x:f>
        <x:v>Cluster 1</x:v>
      </x:c>
      <x:c r="D214" s="26" t="n">
        <x:f>'500件商品'!F214</x:f>
        <x:v>5</x:v>
      </x:c>
      <x:c r="E214" s="24" t="str">
        <x:f>'500件商品'!K214</x:f>
        <x:v>否</x:v>
      </x:c>
      <x:c r="F214" s="24" t="str">
        <x:f>'500件商品'!L214</x:f>
      </x:c>
      <x:c r="G214" s="28" t="n">
        <x:f>'500件商品'!M214</x:f>
        <x:v>1.1</x:v>
      </x:c>
      <x:c r="H214" s="24" t="str">
        <x:f>'500件商品'!P214</x:f>
        <x:v>是</x:v>
      </x:c>
      <x:c r="I214" s="26" t="n">
        <x:f>'500件商品'!N214</x:f>
        <x:v>55</x:v>
      </x:c>
      <x:c r="J214" s="26" t="n">
        <x:f>'500件商品'!O214</x:f>
        <x:v>80</x:v>
      </x:c>
      <x:c r="K214" s="26" t="n">
        <x:f>IF(H214="是",CEILING(I214/J214,1),0)</x:f>
        <x:v>1</x:v>
      </x:c>
      <x:c r="L214" s="26" t="n">
        <x:f>ROUND(I214*G214,0)</x:f>
        <x:v>61</x:v>
      </x:c>
      <x:c r="M214" s="26" t="n">
        <x:f>IF(H214="是",CEILING(L214/J214,1),0)</x:f>
        <x:v>1</x:v>
      </x:c>
      <x:c r="N214" s="26" t="n">
        <x:f>M214-K214</x:f>
        <x:v>0</x:v>
      </x:c>
      <x:c r="O214" s="24" t="str">
        <x:f>'500件商品'!Q214</x:f>
        <x:v>3區</x:v>
      </x:c>
      <x:c r="P214" s="26" t="n">
        <x:f>'500件商品'!R214</x:f>
        <x:v>48</x:v>
      </x:c>
      <x:c r="Q214" s="24" t="str">
        <x:f>IF(H214="否","非棧板管理",IF(AND(E214="是",N214&gt;0),"季節彈性前移區",IF(OR(C214="Cluster 3",D214&gt;=55),"近端低層棧板區",IF(C214="Cluster 2","中段大貨位",IF(C214="Cluster 4","遠端彈性儲位","中段棧板區")))))</x:f>
        <x:v>中段棧板區</x:v>
      </x:c>
      <x:c r="R214" s="24" t="str">
        <x:f>IF(AND(H214="是",E214="是",N214&gt;0),"是","否")</x:f>
        <x:v>否</x:v>
      </x:c>
      <x:c r="S214" s="24" t="str">
        <x:f>IF(H214="否","非本次棧板儲位分析對象",IF(R214="是","旺季前需前移並增加棧板位",IF(N214&gt;0,"需增加棧板位",IF(N214&lt;0,"可釋放部分棧板位","維持現況"))))</x:f>
        <x:v>維持現況</x:v>
      </x:c>
    </x:row>
    <x:row r="215">
      <x:c r="A215" s="24" t="str">
        <x:f>'500件商品'!A215</x:f>
        <x:v>PX0211</x:v>
      </x:c>
      <x:c r="B215" s="24" t="str">
        <x:f>'500件商品'!B215</x:f>
        <x:v>暖暖包-補充包</x:v>
      </x:c>
      <x:c r="C215" s="24" t="str">
        <x:f>'500件商品'!D215</x:f>
        <x:v>Cluster 4</x:v>
      </x:c>
      <x:c r="D215" s="26" t="n">
        <x:f>'500件商品'!F215</x:f>
        <x:v>5</x:v>
      </x:c>
      <x:c r="E215" s="24" t="str">
        <x:f>'500件商品'!K215</x:f>
        <x:v>是</x:v>
      </x:c>
      <x:c r="F215" s="24" t="str">
        <x:f>'500件商品'!L215</x:f>
        <x:v>11-2月</x:v>
      </x:c>
      <x:c r="G215" s="28" t="n">
        <x:f>'500件商品'!M215</x:f>
        <x:v>2.5</x:v>
      </x:c>
      <x:c r="H215" s="24" t="str">
        <x:f>'500件商品'!P215</x:f>
        <x:v>是</x:v>
      </x:c>
      <x:c r="I215" s="26" t="n">
        <x:f>'500件商品'!N215</x:f>
        <x:v>51</x:v>
      </x:c>
      <x:c r="J215" s="26" t="n">
        <x:f>'500件商品'!O215</x:f>
        <x:v>30</x:v>
      </x:c>
      <x:c r="K215" s="26" t="n">
        <x:f>IF(H215="是",CEILING(I215/J215,1),0)</x:f>
        <x:v>2</x:v>
      </x:c>
      <x:c r="L215" s="26" t="n">
        <x:f>ROUND(I215*G215,0)</x:f>
        <x:v>128</x:v>
      </x:c>
      <x:c r="M215" s="26" t="n">
        <x:f>IF(H215="是",CEILING(L215/J215,1),0)</x:f>
        <x:v>5</x:v>
      </x:c>
      <x:c r="N215" s="26" t="n">
        <x:f>M215-K215</x:f>
        <x:v>3</x:v>
      </x:c>
      <x:c r="O215" s="24" t="str">
        <x:f>'500件商品'!Q215</x:f>
        <x:v>遠端區</x:v>
      </x:c>
      <x:c r="P215" s="26" t="n">
        <x:f>'500件商品'!R215</x:f>
        <x:v>68</x:v>
      </x:c>
      <x:c r="Q215" s="24" t="str">
        <x:f>IF(H215="否","非棧板管理",IF(AND(E215="是",N215&gt;0),"季節彈性前移區",IF(OR(C215="Cluster 3",D215&gt;=55),"近端低層棧板區",IF(C215="Cluster 2","中段大貨位",IF(C215="Cluster 4","遠端彈性儲位","中段棧板區")))))</x:f>
        <x:v>季節彈性前移區</x:v>
      </x:c>
      <x:c r="R215" s="24" t="str">
        <x:f>IF(AND(H215="是",E215="是",N215&gt;0),"是","否")</x:f>
        <x:v>是</x:v>
      </x:c>
      <x:c r="S215" s="24" t="str">
        <x:f>IF(H215="否","非本次棧板儲位分析對象",IF(R215="是","旺季前需前移並增加棧板位",IF(N215&gt;0,"需增加棧板位",IF(N215&lt;0,"可釋放部分棧板位","維持現況"))))</x:f>
        <x:v>旺季前需前移並增加棧板位</x:v>
      </x:c>
    </x:row>
    <x:row r="216">
      <x:c r="A216" s="24" t="str">
        <x:f>'500件商品'!A216</x:f>
        <x:v>PX0212</x:v>
      </x:c>
      <x:c r="B216" s="24" t="str">
        <x:f>'500件商品'!B216</x:f>
        <x:v>備用耗材-補充包</x:v>
      </x:c>
      <x:c r="C216" s="24" t="str">
        <x:f>'500件商品'!D216</x:f>
        <x:v>Cluster 5</x:v>
      </x:c>
      <x:c r="D216" s="26" t="n">
        <x:f>'500件商品'!F216</x:f>
        <x:v>33</x:v>
      </x:c>
      <x:c r="E216" s="24" t="str">
        <x:f>'500件商品'!K216</x:f>
        <x:v>否</x:v>
      </x:c>
      <x:c r="F216" s="24" t="str">
        <x:f>'500件商品'!L216</x:f>
      </x:c>
      <x:c r="G216" s="28" t="n">
        <x:f>'500件商品'!M216</x:f>
        <x:v>1.1</x:v>
      </x:c>
      <x:c r="H216" s="24" t="str">
        <x:f>'500件商品'!P216</x:f>
        <x:v>否</x:v>
      </x:c>
      <x:c r="I216" s="26" t="n">
        <x:f>'500件商品'!N216</x:f>
        <x:v>119</x:v>
      </x:c>
      <x:c r="J216" s="26" t="str">
        <x:f>'500件商品'!O216</x:f>
      </x:c>
      <x:c r="K216" s="26" t="n">
        <x:f>IF(H216="是",CEILING(I216/J216,1),0)</x:f>
        <x:v>0</x:v>
      </x:c>
      <x:c r="L216" s="26" t="n">
        <x:f>ROUND(I216*G216,0)</x:f>
        <x:v>131</x:v>
      </x:c>
      <x:c r="M216" s="26" t="n">
        <x:f>IF(H216="是",CEILING(L216/J216,1),0)</x:f>
        <x:v>0</x:v>
      </x:c>
      <x:c r="N216" s="26" t="n">
        <x:f>M216-K216</x:f>
        <x:v>0</x:v>
      </x:c>
      <x:c r="O216" s="24" t="str">
        <x:f>'500件商品'!Q216</x:f>
        <x:v>3區</x:v>
      </x:c>
      <x:c r="P216" s="26" t="n">
        <x:f>'500件商品'!R216</x:f>
        <x:v>47</x:v>
      </x:c>
      <x:c r="Q216" s="24" t="str">
        <x:f>IF(H216="否","非棧板管理",IF(AND(E216="是",N216&gt;0),"季節彈性前移區",IF(OR(C216="Cluster 3",D216&gt;=55),"近端低層棧板區",IF(C216="Cluster 2","中段大貨位",IF(C216="Cluster 4","遠端彈性儲位","中段棧板區")))))</x:f>
        <x:v>非棧板管理</x:v>
      </x:c>
      <x:c r="R216" s="24" t="str">
        <x:f>IF(AND(H216="是",E216="是",N216&gt;0),"是","否")</x:f>
        <x:v>否</x:v>
      </x:c>
      <x:c r="S216" s="24" t="str">
        <x:f>IF(H216="否","非本次棧板儲位分析對象",IF(R216="是","旺季前需前移並增加棧板位",IF(N216&gt;0,"需增加棧板位",IF(N216&lt;0,"可釋放部分棧板位","維持現況"))))</x:f>
        <x:v>非本次棧板儲位分析對象</x:v>
      </x:c>
    </x:row>
    <x:row r="217">
      <x:c r="A217" s="24" t="str">
        <x:f>'500件商品'!A217</x:f>
        <x:v>PX0213</x:v>
      </x:c>
      <x:c r="B217" s="24" t="str">
        <x:f>'500件商品'!B217</x:f>
        <x:v>牙膏組-促銷組</x:v>
      </x:c>
      <x:c r="C217" s="24" t="str">
        <x:f>'500件商品'!D217</x:f>
        <x:v>Cluster 2</x:v>
      </x:c>
      <x:c r="D217" s="26" t="n">
        <x:f>'500件商品'!F217</x:f>
        <x:v>18</x:v>
      </x:c>
      <x:c r="E217" s="24" t="str">
        <x:f>'500件商品'!K217</x:f>
        <x:v>否</x:v>
      </x:c>
      <x:c r="F217" s="24" t="str">
        <x:f>'500件商品'!L217</x:f>
      </x:c>
      <x:c r="G217" s="28" t="n">
        <x:f>'500件商品'!M217</x:f>
        <x:v>1</x:v>
      </x:c>
      <x:c r="H217" s="24" t="str">
        <x:f>'500件商品'!P217</x:f>
        <x:v>是</x:v>
      </x:c>
      <x:c r="I217" s="26" t="n">
        <x:f>'500件商品'!N217</x:f>
        <x:v>133</x:v>
      </x:c>
      <x:c r="J217" s="26" t="n">
        <x:f>'500件商品'!O217</x:f>
        <x:v>24</x:v>
      </x:c>
      <x:c r="K217" s="26" t="n">
        <x:f>IF(H217="是",CEILING(I217/J217,1),0)</x:f>
        <x:v>6</x:v>
      </x:c>
      <x:c r="L217" s="26" t="n">
        <x:f>ROUND(I217*G217,0)</x:f>
        <x:v>133</x:v>
      </x:c>
      <x:c r="M217" s="26" t="n">
        <x:f>IF(H217="是",CEILING(L217/J217,1),0)</x:f>
        <x:v>6</x:v>
      </x:c>
      <x:c r="N217" s="26" t="n">
        <x:f>M217-K217</x:f>
        <x:v>0</x:v>
      </x:c>
      <x:c r="O217" s="24" t="str">
        <x:f>'500件商品'!Q217</x:f>
        <x:v>3區</x:v>
      </x:c>
      <x:c r="P217" s="26" t="n">
        <x:f>'500件商品'!R217</x:f>
        <x:v>44</x:v>
      </x:c>
      <x:c r="Q217" s="24" t="str">
        <x:f>IF(H217="否","非棧板管理",IF(AND(E217="是",N217&gt;0),"季節彈性前移區",IF(OR(C217="Cluster 3",D217&gt;=55),"近端低層棧板區",IF(C217="Cluster 2","中段大貨位",IF(C217="Cluster 4","遠端彈性儲位","中段棧板區")))))</x:f>
        <x:v>中段大貨位</x:v>
      </x:c>
      <x:c r="R217" s="24" t="str">
        <x:f>IF(AND(H217="是",E217="是",N217&gt;0),"是","否")</x:f>
        <x:v>否</x:v>
      </x:c>
      <x:c r="S217" s="24" t="str">
        <x:f>IF(H217="否","非本次棧板儲位分析對象",IF(R217="是","旺季前需前移並增加棧板位",IF(N217&gt;0,"需增加棧板位",IF(N217&lt;0,"可釋放部分棧板位","維持現況"))))</x:f>
        <x:v>維持現況</x:v>
      </x:c>
    </x:row>
    <x:row r="218">
      <x:c r="A218" s="24" t="str">
        <x:f>'500件商品'!A218</x:f>
        <x:v>PX0214</x:v>
      </x:c>
      <x:c r="B218" s="24" t="str">
        <x:f>'500件商品'!B218</x:f>
        <x:v>洗衣精補充包-補充包</x:v>
      </x:c>
      <x:c r="C218" s="24" t="str">
        <x:f>'500件商品'!D218</x:f>
        <x:v>Cluster 3</x:v>
      </x:c>
      <x:c r="D218" s="26" t="n">
        <x:f>'500件商品'!F218</x:f>
        <x:v>57</x:v>
      </x:c>
      <x:c r="E218" s="24" t="str">
        <x:f>'500件商品'!K218</x:f>
        <x:v>否</x:v>
      </x:c>
      <x:c r="F218" s="24" t="str">
        <x:f>'500件商品'!L218</x:f>
      </x:c>
      <x:c r="G218" s="28" t="n">
        <x:f>'500件商品'!M218</x:f>
        <x:v>1.1</x:v>
      </x:c>
      <x:c r="H218" s="24" t="str">
        <x:f>'500件商品'!P218</x:f>
        <x:v>是</x:v>
      </x:c>
      <x:c r="I218" s="26" t="n">
        <x:f>'500件商品'!N218</x:f>
        <x:v>204</x:v>
      </x:c>
      <x:c r="J218" s="26" t="n">
        <x:f>'500件商品'!O218</x:f>
        <x:v>80</x:v>
      </x:c>
      <x:c r="K218" s="26" t="n">
        <x:f>IF(H218="是",CEILING(I218/J218,1),0)</x:f>
        <x:v>3</x:v>
      </x:c>
      <x:c r="L218" s="26" t="n">
        <x:f>ROUND(I218*G218,0)</x:f>
        <x:v>224</x:v>
      </x:c>
      <x:c r="M218" s="26" t="n">
        <x:f>IF(H218="是",CEILING(L218/J218,1),0)</x:f>
        <x:v>3</x:v>
      </x:c>
      <x:c r="N218" s="26" t="n">
        <x:f>M218-K218</x:f>
        <x:v>0</x:v>
      </x:c>
      <x:c r="O218" s="24" t="str">
        <x:f>'500件商品'!Q218</x:f>
        <x:v>遠端區</x:v>
      </x:c>
      <x:c r="P218" s="26" t="n">
        <x:f>'500件商品'!R218</x:f>
        <x:v>65</x:v>
      </x:c>
      <x:c r="Q218" s="24" t="str">
        <x:f>IF(H218="否","非棧板管理",IF(AND(E218="是",N218&gt;0),"季節彈性前移區",IF(OR(C218="Cluster 3",D218&gt;=55),"近端低層棧板區",IF(C218="Cluster 2","中段大貨位",IF(C218="Cluster 4","遠端彈性儲位","中段棧板區")))))</x:f>
        <x:v>近端低層棧板區</x:v>
      </x:c>
      <x:c r="R218" s="24" t="str">
        <x:f>IF(AND(H218="是",E218="是",N218&gt;0),"是","否")</x:f>
        <x:v>否</x:v>
      </x:c>
      <x:c r="S218" s="24" t="str">
        <x:f>IF(H218="否","非本次棧板儲位分析對象",IF(R218="是","旺季前需前移並增加棧板位",IF(N218&gt;0,"需增加棧板位",IF(N218&lt;0,"可釋放部分棧板位","維持現況"))))</x:f>
        <x:v>維持現況</x:v>
      </x:c>
    </x:row>
    <x:row r="219">
      <x:c r="A219" s="24" t="str">
        <x:f>'500件商品'!A219</x:f>
        <x:v>PX0215</x:v>
      </x:c>
      <x:c r="B219" s="24" t="str">
        <x:f>'500件商品'!B219</x:f>
        <x:v>捲筒衛生紙-家庭號</x:v>
      </x:c>
      <x:c r="C219" s="24" t="str">
        <x:f>'500件商品'!D219</x:f>
        <x:v>Cluster 2</x:v>
      </x:c>
      <x:c r="D219" s="26" t="n">
        <x:f>'500件商品'!F219</x:f>
        <x:v>23</x:v>
      </x:c>
      <x:c r="E219" s="24" t="str">
        <x:f>'500件商品'!K219</x:f>
        <x:v>否</x:v>
      </x:c>
      <x:c r="F219" s="24" t="str">
        <x:f>'500件商品'!L219</x:f>
      </x:c>
      <x:c r="G219" s="28" t="n">
        <x:f>'500件商品'!M219</x:f>
        <x:v>1</x:v>
      </x:c>
      <x:c r="H219" s="24" t="str">
        <x:f>'500件商品'!P219</x:f>
        <x:v>是</x:v>
      </x:c>
      <x:c r="I219" s="26" t="n">
        <x:f>'500件商品'!N219</x:f>
        <x:v>146</x:v>
      </x:c>
      <x:c r="J219" s="26" t="n">
        <x:f>'500件商品'!O219</x:f>
        <x:v>20</x:v>
      </x:c>
      <x:c r="K219" s="26" t="n">
        <x:f>IF(H219="是",CEILING(I219/J219,1),0)</x:f>
        <x:v>8</x:v>
      </x:c>
      <x:c r="L219" s="26" t="n">
        <x:f>ROUND(I219*G219,0)</x:f>
        <x:v>146</x:v>
      </x:c>
      <x:c r="M219" s="26" t="n">
        <x:f>IF(H219="是",CEILING(L219/J219,1),0)</x:f>
        <x:v>8</x:v>
      </x:c>
      <x:c r="N219" s="26" t="n">
        <x:f>M219-K219</x:f>
        <x:v>0</x:v>
      </x:c>
      <x:c r="O219" s="24" t="str">
        <x:f>'500件商品'!Q219</x:f>
        <x:v>彈性區</x:v>
      </x:c>
      <x:c r="P219" s="26" t="n">
        <x:f>'500件商品'!R219</x:f>
        <x:v>54</x:v>
      </x:c>
      <x:c r="Q219" s="24" t="str">
        <x:f>IF(H219="否","非棧板管理",IF(AND(E219="是",N219&gt;0),"季節彈性前移區",IF(OR(C219="Cluster 3",D219&gt;=55),"近端低層棧板區",IF(C219="Cluster 2","中段大貨位",IF(C219="Cluster 4","遠端彈性儲位","中段棧板區")))))</x:f>
        <x:v>中段大貨位</x:v>
      </x:c>
      <x:c r="R219" s="24" t="str">
        <x:f>IF(AND(H219="是",E219="是",N219&gt;0),"是","否")</x:f>
        <x:v>否</x:v>
      </x:c>
      <x:c r="S219" s="24" t="str">
        <x:f>IF(H219="否","非本次棧板儲位分析對象",IF(R219="是","旺季前需前移並增加棧板位",IF(N219&gt;0,"需增加棧板位",IF(N219&lt;0,"可釋放部分棧板位","維持現況"))))</x:f>
        <x:v>維持現況</x:v>
      </x:c>
    </x:row>
    <x:row r="220">
      <x:c r="A220" s="24" t="str">
        <x:f>'500件商品'!A220</x:f>
        <x:v>PX0216</x:v>
      </x:c>
      <x:c r="B220" s="24" t="str">
        <x:f>'500件商品'!B220</x:f>
        <x:v>鋁箔紙-箱裝</x:v>
      </x:c>
      <x:c r="C220" s="24" t="str">
        <x:f>'500件商品'!D220</x:f>
        <x:v>Cluster 5</x:v>
      </x:c>
      <x:c r="D220" s="26" t="n">
        <x:f>'500件商品'!F220</x:f>
        <x:v>44</x:v>
      </x:c>
      <x:c r="E220" s="24" t="str">
        <x:f>'500件商品'!K220</x:f>
        <x:v>否</x:v>
      </x:c>
      <x:c r="F220" s="24" t="str">
        <x:f>'500件商品'!L220</x:f>
      </x:c>
      <x:c r="G220" s="28" t="n">
        <x:f>'500件商品'!M220</x:f>
        <x:v>1</x:v>
      </x:c>
      <x:c r="H220" s="24" t="str">
        <x:f>'500件商品'!P220</x:f>
        <x:v>是</x:v>
      </x:c>
      <x:c r="I220" s="26" t="n">
        <x:f>'500件商品'!N220</x:f>
        <x:v>226</x:v>
      </x:c>
      <x:c r="J220" s="26" t="n">
        <x:f>'500件商品'!O220</x:f>
        <x:v>72</x:v>
      </x:c>
      <x:c r="K220" s="26" t="n">
        <x:f>IF(H220="是",CEILING(I220/J220,1),0)</x:f>
        <x:v>4</x:v>
      </x:c>
      <x:c r="L220" s="26" t="n">
        <x:f>ROUND(I220*G220,0)</x:f>
        <x:v>226</x:v>
      </x:c>
      <x:c r="M220" s="26" t="n">
        <x:f>IF(H220="是",CEILING(L220/J220,1),0)</x:f>
        <x:v>4</x:v>
      </x:c>
      <x:c r="N220" s="26" t="n">
        <x:f>M220-K220</x:f>
        <x:v>0</x:v>
      </x:c>
      <x:c r="O220" s="24" t="str">
        <x:f>'500件商品'!Q220</x:f>
        <x:v>3區</x:v>
      </x:c>
      <x:c r="P220" s="26" t="n">
        <x:f>'500件商品'!R220</x:f>
        <x:v>40</x:v>
      </x:c>
      <x:c r="Q220" s="24" t="str">
        <x:f>IF(H220="否","非棧板管理",IF(AND(E220="是",N220&gt;0),"季節彈性前移區",IF(OR(C220="Cluster 3",D220&gt;=55),"近端低層棧板區",IF(C220="Cluster 2","中段大貨位",IF(C220="Cluster 4","遠端彈性儲位","中段棧板區")))))</x:f>
        <x:v>中段棧板區</x:v>
      </x:c>
      <x:c r="R220" s="24" t="str">
        <x:f>IF(AND(H220="是",E220="是",N220&gt;0),"是","否")</x:f>
        <x:v>否</x:v>
      </x:c>
      <x:c r="S220" s="24" t="str">
        <x:f>IF(H220="否","非本次棧板儲位分析對象",IF(R220="是","旺季前需前移並增加棧板位",IF(N220&gt;0,"需增加棧板位",IF(N220&lt;0,"可釋放部分棧板位","維持現況"))))</x:f>
        <x:v>維持現況</x:v>
      </x:c>
    </x:row>
    <x:row r="221">
      <x:c r="A221" s="24" t="str">
        <x:f>'500件商品'!A221</x:f>
        <x:v>PX0217</x:v>
      </x:c>
      <x:c r="B221" s="24" t="str">
        <x:f>'500件商品'!B221</x:f>
        <x:v>浴廁清潔劑-家庭號</x:v>
      </x:c>
      <x:c r="C221" s="24" t="str">
        <x:f>'500件商品'!D221</x:f>
        <x:v>Cluster 4</x:v>
      </x:c>
      <x:c r="D221" s="26" t="n">
        <x:f>'500件商品'!F221</x:f>
        <x:v>13</x:v>
      </x:c>
      <x:c r="E221" s="24" t="str">
        <x:f>'500件商品'!K221</x:f>
        <x:v>是</x:v>
      </x:c>
      <x:c r="F221" s="24" t="str">
        <x:f>'500件商品'!L221</x:f>
        <x:v>旺季</x:v>
      </x:c>
      <x:c r="G221" s="28" t="n">
        <x:f>'500件商品'!M221</x:f>
        <x:v>2</x:v>
      </x:c>
      <x:c r="H221" s="24" t="str">
        <x:f>'500件商品'!P221</x:f>
        <x:v>是</x:v>
      </x:c>
      <x:c r="I221" s="26" t="n">
        <x:f>'500件商品'!N221</x:f>
        <x:v>130</x:v>
      </x:c>
      <x:c r="J221" s="26" t="n">
        <x:f>'500件商品'!O221</x:f>
        <x:v>72</x:v>
      </x:c>
      <x:c r="K221" s="26" t="n">
        <x:f>IF(H221="是",CEILING(I221/J221,1),0)</x:f>
        <x:v>2</x:v>
      </x:c>
      <x:c r="L221" s="26" t="n">
        <x:f>ROUND(I221*G221,0)</x:f>
        <x:v>260</x:v>
      </x:c>
      <x:c r="M221" s="26" t="n">
        <x:f>IF(H221="是",CEILING(L221/J221,1),0)</x:f>
        <x:v>4</x:v>
      </x:c>
      <x:c r="N221" s="26" t="n">
        <x:f>M221-K221</x:f>
        <x:v>2</x:v>
      </x:c>
      <x:c r="O221" s="24" t="str">
        <x:f>'500件商品'!Q221</x:f>
        <x:v>1區</x:v>
      </x:c>
      <x:c r="P221" s="26" t="n">
        <x:f>'500件商品'!R221</x:f>
        <x:v>30</x:v>
      </x:c>
      <x:c r="Q221" s="24" t="str">
        <x:f>IF(H221="否","非棧板管理",IF(AND(E221="是",N221&gt;0),"季節彈性前移區",IF(OR(C221="Cluster 3",D221&gt;=55),"近端低層棧板區",IF(C221="Cluster 2","中段大貨位",IF(C221="Cluster 4","遠端彈性儲位","中段棧板區")))))</x:f>
        <x:v>季節彈性前移區</x:v>
      </x:c>
      <x:c r="R221" s="24" t="str">
        <x:f>IF(AND(H221="是",E221="是",N221&gt;0),"是","否")</x:f>
        <x:v>是</x:v>
      </x:c>
      <x:c r="S221" s="24" t="str">
        <x:f>IF(H221="否","非本次棧板儲位分析對象",IF(R221="是","旺季前需前移並增加棧板位",IF(N221&gt;0,"需增加棧板位",IF(N221&lt;0,"可釋放部分棧板位","維持現況"))))</x:f>
        <x:v>旺季前需前移並增加棧板位</x:v>
      </x:c>
    </x:row>
    <x:row r="222">
      <x:c r="A222" s="24" t="str">
        <x:f>'500件商品'!A222</x:f>
        <x:v>PX0218</x:v>
      </x:c>
      <x:c r="B222" s="24" t="str">
        <x:f>'500件商品'!B222</x:f>
        <x:v>標籤紙卷-小包裝</x:v>
      </x:c>
      <x:c r="C222" s="24" t="str">
        <x:f>'500件商品'!D222</x:f>
        <x:v>Cluster 5</x:v>
      </x:c>
      <x:c r="D222" s="26" t="n">
        <x:f>'500件商品'!F222</x:f>
        <x:v>58</x:v>
      </x:c>
      <x:c r="E222" s="24" t="str">
        <x:f>'500件商品'!K222</x:f>
        <x:v>否</x:v>
      </x:c>
      <x:c r="F222" s="24" t="str">
        <x:f>'500件商品'!L222</x:f>
      </x:c>
      <x:c r="G222" s="28" t="n">
        <x:f>'500件商品'!M222</x:f>
        <x:v>1</x:v>
      </x:c>
      <x:c r="H222" s="24" t="str">
        <x:f>'500件商品'!P222</x:f>
        <x:v>是</x:v>
      </x:c>
      <x:c r="I222" s="26" t="n">
        <x:f>'500件商品'!N222</x:f>
        <x:v>226</x:v>
      </x:c>
      <x:c r="J222" s="26" t="n">
        <x:f>'500件商品'!O222</x:f>
        <x:v>48</x:v>
      </x:c>
      <x:c r="K222" s="26" t="n">
        <x:f>IF(H222="是",CEILING(I222/J222,1),0)</x:f>
        <x:v>5</x:v>
      </x:c>
      <x:c r="L222" s="26" t="n">
        <x:f>ROUND(I222*G222,0)</x:f>
        <x:v>226</x:v>
      </x:c>
      <x:c r="M222" s="26" t="n">
        <x:f>IF(H222="是",CEILING(L222/J222,1),0)</x:f>
        <x:v>5</x:v>
      </x:c>
      <x:c r="N222" s="26" t="n">
        <x:f>M222-K222</x:f>
        <x:v>0</x:v>
      </x:c>
      <x:c r="O222" s="24" t="str">
        <x:f>'500件商品'!Q222</x:f>
        <x:v>K區</x:v>
      </x:c>
      <x:c r="P222" s="26" t="n">
        <x:f>'500件商品'!R222</x:f>
        <x:v>43</x:v>
      </x:c>
      <x:c r="Q222" s="24" t="str">
        <x:f>IF(H222="否","非棧板管理",IF(AND(E222="是",N222&gt;0),"季節彈性前移區",IF(OR(C222="Cluster 3",D222&gt;=55),"近端低層棧板區",IF(C222="Cluster 2","中段大貨位",IF(C222="Cluster 4","遠端彈性儲位","中段棧板區")))))</x:f>
        <x:v>近端低層棧板區</x:v>
      </x:c>
      <x:c r="R222" s="24" t="str">
        <x:f>IF(AND(H222="是",E222="是",N222&gt;0),"是","否")</x:f>
        <x:v>否</x:v>
      </x:c>
      <x:c r="S222" s="24" t="str">
        <x:f>IF(H222="否","非本次棧板儲位分析對象",IF(R222="是","旺季前需前移並增加棧板位",IF(N222&gt;0,"需增加棧板位",IF(N222&lt;0,"可釋放部分棧板位","維持現況"))))</x:f>
        <x:v>維持現況</x:v>
      </x:c>
    </x:row>
    <x:row r="223">
      <x:c r="A223" s="24" t="str">
        <x:f>'500件商品'!A223</x:f>
        <x:v>PX0219</x:v>
      </x:c>
      <x:c r="B223" s="24" t="str">
        <x:f>'500件商品'!B223</x:f>
        <x:v>乾電池組-箱裝</x:v>
      </x:c>
      <x:c r="C223" s="24" t="str">
        <x:f>'500件商品'!D223</x:f>
        <x:v>Cluster 5</x:v>
      </x:c>
      <x:c r="D223" s="26" t="n">
        <x:f>'500件商品'!F223</x:f>
        <x:v>87</x:v>
      </x:c>
      <x:c r="E223" s="24" t="str">
        <x:f>'500件商品'!K223</x:f>
        <x:v>否</x:v>
      </x:c>
      <x:c r="F223" s="24" t="str">
        <x:f>'500件商品'!L223</x:f>
      </x:c>
      <x:c r="G223" s="28" t="n">
        <x:f>'500件商品'!M223</x:f>
        <x:v>1.1</x:v>
      </x:c>
      <x:c r="H223" s="24" t="str">
        <x:f>'500件商品'!P223</x:f>
        <x:v>是</x:v>
      </x:c>
      <x:c r="I223" s="26" t="n">
        <x:f>'500件商品'!N223</x:f>
        <x:v>486</x:v>
      </x:c>
      <x:c r="J223" s="26" t="n">
        <x:f>'500件商品'!O223</x:f>
        <x:v>72</x:v>
      </x:c>
      <x:c r="K223" s="26" t="n">
        <x:f>IF(H223="是",CEILING(I223/J223,1),0)</x:f>
        <x:v>7</x:v>
      </x:c>
      <x:c r="L223" s="26" t="n">
        <x:f>ROUND(I223*G223,0)</x:f>
        <x:v>535</x:v>
      </x:c>
      <x:c r="M223" s="26" t="n">
        <x:f>IF(H223="是",CEILING(L223/J223,1),0)</x:f>
        <x:v>8</x:v>
      </x:c>
      <x:c r="N223" s="26" t="n">
        <x:f>M223-K223</x:f>
        <x:v>1</x:v>
      </x:c>
      <x:c r="O223" s="24" t="str">
        <x:f>'500件商品'!Q223</x:f>
        <x:v>A區</x:v>
      </x:c>
      <x:c r="P223" s="26" t="n">
        <x:f>'500件商品'!R223</x:f>
        <x:v>18</x:v>
      </x:c>
      <x:c r="Q223" s="24" t="str">
        <x:f>IF(H223="否","非棧板管理",IF(AND(E223="是",N223&gt;0),"季節彈性前移區",IF(OR(C223="Cluster 3",D223&gt;=55),"近端低層棧板區",IF(C223="Cluster 2","中段大貨位",IF(C223="Cluster 4","遠端彈性儲位","中段棧板區")))))</x:f>
        <x:v>近端低層棧板區</x:v>
      </x:c>
      <x:c r="R223" s="24" t="str">
        <x:f>IF(AND(H223="是",E223="是",N223&gt;0),"是","否")</x:f>
        <x:v>否</x:v>
      </x:c>
      <x:c r="S223" s="24" t="str">
        <x:f>IF(H223="否","非本次棧板儲位分析對象",IF(R223="是","旺季前需前移並增加棧板位",IF(N223&gt;0,"需增加棧板位",IF(N223&lt;0,"可釋放部分棧板位","維持現況"))))</x:f>
        <x:v>需增加棧板位</x:v>
      </x:c>
    </x:row>
    <x:row r="224">
      <x:c r="A224" s="24" t="str">
        <x:f>'500件商品'!A224</x:f>
        <x:v>PX0220</x:v>
      </x:c>
      <x:c r="B224" s="24" t="str">
        <x:f>'500件商品'!B224</x:f>
        <x:v>泡麵箱-家庭號</x:v>
      </x:c>
      <x:c r="C224" s="24" t="str">
        <x:f>'500件商品'!D224</x:f>
        <x:v>Cluster 5</x:v>
      </x:c>
      <x:c r="D224" s="26" t="n">
        <x:f>'500件商品'!F224</x:f>
        <x:v>65</x:v>
      </x:c>
      <x:c r="E224" s="24" t="str">
        <x:f>'500件商品'!K224</x:f>
        <x:v>否</x:v>
      </x:c>
      <x:c r="F224" s="24" t="str">
        <x:f>'500件商品'!L224</x:f>
      </x:c>
      <x:c r="G224" s="28" t="n">
        <x:f>'500件商品'!M224</x:f>
        <x:v>1</x:v>
      </x:c>
      <x:c r="H224" s="24" t="str">
        <x:f>'500件商品'!P224</x:f>
        <x:v>是</x:v>
      </x:c>
      <x:c r="I224" s="26" t="n">
        <x:f>'500件商品'!N224</x:f>
        <x:v>260</x:v>
      </x:c>
      <x:c r="J224" s="26" t="n">
        <x:f>'500件商品'!O224</x:f>
        <x:v>80</x:v>
      </x:c>
      <x:c r="K224" s="26" t="n">
        <x:f>IF(H224="是",CEILING(I224/J224,1),0)</x:f>
        <x:v>4</x:v>
      </x:c>
      <x:c r="L224" s="26" t="n">
        <x:f>ROUND(I224*G224,0)</x:f>
        <x:v>260</x:v>
      </x:c>
      <x:c r="M224" s="26" t="n">
        <x:f>IF(H224="是",CEILING(L224/J224,1),0)</x:f>
        <x:v>4</x:v>
      </x:c>
      <x:c r="N224" s="26" t="n">
        <x:f>M224-K224</x:f>
        <x:v>0</x:v>
      </x:c>
      <x:c r="O224" s="24" t="str">
        <x:f>'500件商品'!Q224</x:f>
        <x:v>K區</x:v>
      </x:c>
      <x:c r="P224" s="26" t="n">
        <x:f>'500件商品'!R224</x:f>
        <x:v>55</x:v>
      </x:c>
      <x:c r="Q224" s="24" t="str">
        <x:f>IF(H224="否","非棧板管理",IF(AND(E224="是",N224&gt;0),"季節彈性前移區",IF(OR(C224="Cluster 3",D224&gt;=55),"近端低層棧板區",IF(C224="Cluster 2","中段大貨位",IF(C224="Cluster 4","遠端彈性儲位","中段棧板區")))))</x:f>
        <x:v>近端低層棧板區</x:v>
      </x:c>
      <x:c r="R224" s="24" t="str">
        <x:f>IF(AND(H224="是",E224="是",N224&gt;0),"是","否")</x:f>
        <x:v>否</x:v>
      </x:c>
      <x:c r="S224" s="24" t="str">
        <x:f>IF(H224="否","非本次棧板儲位分析對象",IF(R224="是","旺季前需前移並增加棧板位",IF(N224&gt;0,"需增加棧板位",IF(N224&lt;0,"可釋放部分棧板位","維持現況"))))</x:f>
        <x:v>維持現況</x:v>
      </x:c>
    </x:row>
    <x:row r="225">
      <x:c r="A225" s="24" t="str">
        <x:f>'500件商品'!A225</x:f>
        <x:v>PX0221</x:v>
      </x:c>
      <x:c r="B225" s="24" t="str">
        <x:f>'500件商品'!B225</x:f>
        <x:v>抽取式衛生紙-箱裝</x:v>
      </x:c>
      <x:c r="C225" s="24" t="str">
        <x:f>'500件商品'!D225</x:f>
        <x:v>Cluster 2</x:v>
      </x:c>
      <x:c r="D225" s="26" t="n">
        <x:f>'500件商品'!F225</x:f>
        <x:v>41</x:v>
      </x:c>
      <x:c r="E225" s="24" t="str">
        <x:f>'500件商品'!K225</x:f>
        <x:v>否</x:v>
      </x:c>
      <x:c r="F225" s="24" t="str">
        <x:f>'500件商品'!L225</x:f>
      </x:c>
      <x:c r="G225" s="28" t="n">
        <x:f>'500件商品'!M225</x:f>
        <x:v>1</x:v>
      </x:c>
      <x:c r="H225" s="24" t="str">
        <x:f>'500件商品'!P225</x:f>
        <x:v>是</x:v>
      </x:c>
      <x:c r="I225" s="26" t="n">
        <x:f>'500件商品'!N225</x:f>
        <x:v>232</x:v>
      </x:c>
      <x:c r="J225" s="26" t="n">
        <x:f>'500件商品'!O225</x:f>
        <x:v>18</x:v>
      </x:c>
      <x:c r="K225" s="26" t="n">
        <x:f>IF(H225="是",CEILING(I225/J225,1),0)</x:f>
        <x:v>13</x:v>
      </x:c>
      <x:c r="L225" s="26" t="n">
        <x:f>ROUND(I225*G225,0)</x:f>
        <x:v>232</x:v>
      </x:c>
      <x:c r="M225" s="26" t="n">
        <x:f>IF(H225="是",CEILING(L225/J225,1),0)</x:f>
        <x:v>13</x:v>
      </x:c>
      <x:c r="N225" s="26" t="n">
        <x:f>M225-K225</x:f>
        <x:v>0</x:v>
      </x:c>
      <x:c r="O225" s="24" t="str">
        <x:f>'500件商品'!Q225</x:f>
        <x:v>1區</x:v>
      </x:c>
      <x:c r="P225" s="26" t="n">
        <x:f>'500件商品'!R225</x:f>
        <x:v>23</x:v>
      </x:c>
      <x:c r="Q225" s="24" t="str">
        <x:f>IF(H225="否","非棧板管理",IF(AND(E225="是",N225&gt;0),"季節彈性前移區",IF(OR(C225="Cluster 3",D225&gt;=55),"近端低層棧板區",IF(C225="Cluster 2","中段大貨位",IF(C225="Cluster 4","遠端彈性儲位","中段棧板區")))))</x:f>
        <x:v>中段大貨位</x:v>
      </x:c>
      <x:c r="R225" s="24" t="str">
        <x:f>IF(AND(H225="是",E225="是",N225&gt;0),"是","否")</x:f>
        <x:v>否</x:v>
      </x:c>
      <x:c r="S225" s="24" t="str">
        <x:f>IF(H225="否","非本次棧板儲位分析對象",IF(R225="是","旺季前需前移並增加棧板位",IF(N225&gt;0,"需增加棧板位",IF(N225&lt;0,"可釋放部分棧板位","維持現況"))))</x:f>
        <x:v>維持現況</x:v>
      </x:c>
    </x:row>
    <x:row r="226">
      <x:c r="A226" s="24" t="str">
        <x:f>'500件商品'!A226</x:f>
        <x:v>PX0222</x:v>
      </x:c>
      <x:c r="B226" s="24" t="str">
        <x:f>'500件商品'!B226</x:f>
        <x:v>寵物尿布墊-補充包</x:v>
      </x:c>
      <x:c r="C226" s="24" t="str">
        <x:f>'500件商品'!D226</x:f>
        <x:v>Cluster 2</x:v>
      </x:c>
      <x:c r="D226" s="26" t="n">
        <x:f>'500件商品'!F226</x:f>
        <x:v>40</x:v>
      </x:c>
      <x:c r="E226" s="24" t="str">
        <x:f>'500件商品'!K226</x:f>
        <x:v>否</x:v>
      </x:c>
      <x:c r="F226" s="24" t="str">
        <x:f>'500件商品'!L226</x:f>
      </x:c>
      <x:c r="G226" s="28" t="n">
        <x:f>'500件商品'!M226</x:f>
        <x:v>1.1</x:v>
      </x:c>
      <x:c r="H226" s="24" t="str">
        <x:f>'500件商品'!P226</x:f>
        <x:v>是</x:v>
      </x:c>
      <x:c r="I226" s="26" t="n">
        <x:f>'500件商品'!N226</x:f>
        <x:v>349</x:v>
      </x:c>
      <x:c r="J226" s="26" t="n">
        <x:f>'500件商品'!O226</x:f>
        <x:v>18</x:v>
      </x:c>
      <x:c r="K226" s="26" t="n">
        <x:f>IF(H226="是",CEILING(I226/J226,1),0)</x:f>
        <x:v>20</x:v>
      </x:c>
      <x:c r="L226" s="26" t="n">
        <x:f>ROUND(I226*G226,0)</x:f>
        <x:v>384</x:v>
      </x:c>
      <x:c r="M226" s="26" t="n">
        <x:f>IF(H226="是",CEILING(L226/J226,1),0)</x:f>
        <x:v>22</x:v>
      </x:c>
      <x:c r="N226" s="26" t="n">
        <x:f>M226-K226</x:f>
        <x:v>2</x:v>
      </x:c>
      <x:c r="O226" s="24" t="str">
        <x:f>'500件商品'!Q226</x:f>
        <x:v>彈性區</x:v>
      </x:c>
      <x:c r="P226" s="26" t="n">
        <x:f>'500件商品'!R226</x:f>
        <x:v>46</x:v>
      </x:c>
      <x:c r="Q226" s="24" t="str">
        <x:f>IF(H226="否","非棧板管理",IF(AND(E226="是",N226&gt;0),"季節彈性前移區",IF(OR(C226="Cluster 3",D226&gt;=55),"近端低層棧板區",IF(C226="Cluster 2","中段大貨位",IF(C226="Cluster 4","遠端彈性儲位","中段棧板區")))))</x:f>
        <x:v>中段大貨位</x:v>
      </x:c>
      <x:c r="R226" s="24" t="str">
        <x:f>IF(AND(H226="是",E226="是",N226&gt;0),"是","否")</x:f>
        <x:v>否</x:v>
      </x:c>
      <x:c r="S226" s="24" t="str">
        <x:f>IF(H226="否","非本次棧板儲位分析對象",IF(R226="是","旺季前需前移並增加棧板位",IF(N226&gt;0,"需增加棧板位",IF(N226&lt;0,"可釋放部分棧板位","維持現況"))))</x:f>
        <x:v>需增加棧板位</x:v>
      </x:c>
    </x:row>
    <x:row r="227">
      <x:c r="A227" s="24" t="str">
        <x:f>'500件商品'!A227</x:f>
        <x:v>PX0223</x:v>
      </x:c>
      <x:c r="B227" s="24" t="str">
        <x:f>'500件商品'!B227</x:f>
        <x:v>運動飲料整箱-促銷組</x:v>
      </x:c>
      <x:c r="C227" s="24" t="str">
        <x:f>'500件商品'!D227</x:f>
        <x:v>Cluster 1</x:v>
      </x:c>
      <x:c r="D227" s="26" t="n">
        <x:f>'500件商品'!F227</x:f>
        <x:v>12</x:v>
      </x:c>
      <x:c r="E227" s="24" t="str">
        <x:f>'500件商品'!K227</x:f>
        <x:v>否</x:v>
      </x:c>
      <x:c r="F227" s="24" t="str">
        <x:f>'500件商品'!L227</x:f>
      </x:c>
      <x:c r="G227" s="28" t="n">
        <x:f>'500件商品'!M227</x:f>
        <x:v>1.5</x:v>
      </x:c>
      <x:c r="H227" s="24" t="str">
        <x:f>'500件商品'!P227</x:f>
        <x:v>是</x:v>
      </x:c>
      <x:c r="I227" s="26" t="n">
        <x:f>'500件商品'!N227</x:f>
        <x:v>78</x:v>
      </x:c>
      <x:c r="J227" s="26" t="n">
        <x:f>'500件商品'!O227</x:f>
        <x:v>32</x:v>
      </x:c>
      <x:c r="K227" s="26" t="n">
        <x:f>IF(H227="是",CEILING(I227/J227,1),0)</x:f>
        <x:v>3</x:v>
      </x:c>
      <x:c r="L227" s="26" t="n">
        <x:f>ROUND(I227*G227,0)</x:f>
        <x:v>117</x:v>
      </x:c>
      <x:c r="M227" s="26" t="n">
        <x:f>IF(H227="是",CEILING(L227/J227,1),0)</x:f>
        <x:v>4</x:v>
      </x:c>
      <x:c r="N227" s="26" t="n">
        <x:f>M227-K227</x:f>
        <x:v>1</x:v>
      </x:c>
      <x:c r="O227" s="24" t="str">
        <x:f>'500件商品'!Q227</x:f>
        <x:v>K區</x:v>
      </x:c>
      <x:c r="P227" s="26" t="n">
        <x:f>'500件商品'!R227</x:f>
        <x:v>41</x:v>
      </x:c>
      <x:c r="Q227" s="24" t="str">
        <x:f>IF(H227="否","非棧板管理",IF(AND(E227="是",N227&gt;0),"季節彈性前移區",IF(OR(C227="Cluster 3",D227&gt;=55),"近端低層棧板區",IF(C227="Cluster 2","中段大貨位",IF(C227="Cluster 4","遠端彈性儲位","中段棧板區")))))</x:f>
        <x:v>中段棧板區</x:v>
      </x:c>
      <x:c r="R227" s="24" t="str">
        <x:f>IF(AND(H227="是",E227="是",N227&gt;0),"是","否")</x:f>
        <x:v>否</x:v>
      </x:c>
      <x:c r="S227" s="24" t="str">
        <x:f>IF(H227="否","非本次棧板儲位分析對象",IF(R227="是","旺季前需前移並增加棧板位",IF(N227&gt;0,"需增加棧板位",IF(N227&lt;0,"可釋放部分棧板位","維持現況"))))</x:f>
        <x:v>需增加棧板位</x:v>
      </x:c>
    </x:row>
    <x:row r="228">
      <x:c r="A228" s="24" t="str">
        <x:f>'500件商品'!A228</x:f>
        <x:v>PX0224</x:v>
      </x:c>
      <x:c r="B228" s="24" t="str">
        <x:f>'500件商品'!B228</x:f>
        <x:v>洗碗精-小包裝</x:v>
      </x:c>
      <x:c r="C228" s="24" t="str">
        <x:f>'500件商品'!D228</x:f>
        <x:v>Cluster 3</x:v>
      </x:c>
      <x:c r="D228" s="26" t="n">
        <x:f>'500件商品'!F228</x:f>
        <x:v>79</x:v>
      </x:c>
      <x:c r="E228" s="24" t="str">
        <x:f>'500件商品'!K228</x:f>
        <x:v>否</x:v>
      </x:c>
      <x:c r="F228" s="24" t="str">
        <x:f>'500件商品'!L228</x:f>
      </x:c>
      <x:c r="G228" s="28" t="n">
        <x:f>'500件商品'!M228</x:f>
        <x:v>1.1</x:v>
      </x:c>
      <x:c r="H228" s="24" t="str">
        <x:f>'500件商品'!P228</x:f>
        <x:v>是</x:v>
      </x:c>
      <x:c r="I228" s="26" t="n">
        <x:f>'500件商品'!N228</x:f>
        <x:v>506</x:v>
      </x:c>
      <x:c r="J228" s="26" t="n">
        <x:f>'500件商品'!O228</x:f>
        <x:v>80</x:v>
      </x:c>
      <x:c r="K228" s="26" t="n">
        <x:f>IF(H228="是",CEILING(I228/J228,1),0)</x:f>
        <x:v>7</x:v>
      </x:c>
      <x:c r="L228" s="26" t="n">
        <x:f>ROUND(I228*G228,0)</x:f>
        <x:v>557</x:v>
      </x:c>
      <x:c r="M228" s="26" t="n">
        <x:f>IF(H228="是",CEILING(L228/J228,1),0)</x:f>
        <x:v>7</x:v>
      </x:c>
      <x:c r="N228" s="26" t="n">
        <x:f>M228-K228</x:f>
        <x:v>0</x:v>
      </x:c>
      <x:c r="O228" s="24" t="str">
        <x:f>'500件商品'!Q228</x:f>
        <x:v>遠端區</x:v>
      </x:c>
      <x:c r="P228" s="26" t="n">
        <x:f>'500件商品'!R228</x:f>
        <x:v>61</x:v>
      </x:c>
      <x:c r="Q228" s="24" t="str">
        <x:f>IF(H228="否","非棧板管理",IF(AND(E228="是",N228&gt;0),"季節彈性前移區",IF(OR(C228="Cluster 3",D228&gt;=55),"近端低層棧板區",IF(C228="Cluster 2","中段大貨位",IF(C228="Cluster 4","遠端彈性儲位","中段棧板區")))))</x:f>
        <x:v>近端低層棧板區</x:v>
      </x:c>
      <x:c r="R228" s="24" t="str">
        <x:f>IF(AND(H228="是",E228="是",N228&gt;0),"是","否")</x:f>
        <x:v>否</x:v>
      </x:c>
      <x:c r="S228" s="24" t="str">
        <x:f>IF(H228="否","非本次棧板儲位分析對象",IF(R228="是","旺季前需前移並增加棧板位",IF(N228&gt;0,"需增加棧板位",IF(N228&lt;0,"可釋放部分棧板位","維持現況"))))</x:f>
        <x:v>維持現況</x:v>
      </x:c>
    </x:row>
    <x:row r="229">
      <x:c r="A229" s="24" t="str">
        <x:f>'500件商品'!A229</x:f>
        <x:v>PX0225</x:v>
      </x:c>
      <x:c r="B229" s="24" t="str">
        <x:f>'500件商品'!B229</x:f>
        <x:v>玻璃瓶醬料-標準箱</x:v>
      </x:c>
      <x:c r="C229" s="24" t="str">
        <x:f>'500件商品'!D229</x:f>
        <x:v>Cluster 1</x:v>
      </x:c>
      <x:c r="D229" s="26" t="n">
        <x:f>'500件商品'!F229</x:f>
        <x:v>35</x:v>
      </x:c>
      <x:c r="E229" s="24" t="str">
        <x:f>'500件商品'!K229</x:f>
        <x:v>否</x:v>
      </x:c>
      <x:c r="F229" s="24" t="str">
        <x:f>'500件商品'!L229</x:f>
      </x:c>
      <x:c r="G229" s="28" t="n">
        <x:f>'500件商品'!M229</x:f>
        <x:v>1</x:v>
      </x:c>
      <x:c r="H229" s="24" t="str">
        <x:f>'500件商品'!P229</x:f>
        <x:v>是</x:v>
      </x:c>
      <x:c r="I229" s="26" t="n">
        <x:f>'500件商品'!N229</x:f>
        <x:v>141</x:v>
      </x:c>
      <x:c r="J229" s="26" t="n">
        <x:f>'500件商品'!O229</x:f>
        <x:v>48</x:v>
      </x:c>
      <x:c r="K229" s="26" t="n">
        <x:f>IF(H229="是",CEILING(I229/J229,1),0)</x:f>
        <x:v>3</x:v>
      </x:c>
      <x:c r="L229" s="26" t="n">
        <x:f>ROUND(I229*G229,0)</x:f>
        <x:v>141</x:v>
      </x:c>
      <x:c r="M229" s="26" t="n">
        <x:f>IF(H229="是",CEILING(L229/J229,1),0)</x:f>
        <x:v>3</x:v>
      </x:c>
      <x:c r="N229" s="26" t="n">
        <x:f>M229-K229</x:f>
        <x:v>0</x:v>
      </x:c>
      <x:c r="O229" s="24" t="str">
        <x:f>'500件商品'!Q229</x:f>
        <x:v>遠端區</x:v>
      </x:c>
      <x:c r="P229" s="26" t="n">
        <x:f>'500件商品'!R229</x:f>
        <x:v>57</x:v>
      </x:c>
      <x:c r="Q229" s="24" t="str">
        <x:f>IF(H229="否","非棧板管理",IF(AND(E229="是",N229&gt;0),"季節彈性前移區",IF(OR(C229="Cluster 3",D229&gt;=55),"近端低層棧板區",IF(C229="Cluster 2","中段大貨位",IF(C229="Cluster 4","遠端彈性儲位","中段棧板區")))))</x:f>
        <x:v>中段棧板區</x:v>
      </x:c>
      <x:c r="R229" s="24" t="str">
        <x:f>IF(AND(H229="是",E229="是",N229&gt;0),"是","否")</x:f>
        <x:v>否</x:v>
      </x:c>
      <x:c r="S229" s="24" t="str">
        <x:f>IF(H229="否","非本次棧板儲位分析對象",IF(R229="是","旺季前需前移並增加棧板位",IF(N229&gt;0,"需增加棧板位",IF(N229&lt;0,"可釋放部分棧板位","維持現況"))))</x:f>
        <x:v>維持現況</x:v>
      </x:c>
    </x:row>
    <x:row r="230">
      <x:c r="A230" s="24" t="str">
        <x:f>'500件商品'!A230</x:f>
        <x:v>PX0226</x:v>
      </x:c>
      <x:c r="B230" s="24" t="str">
        <x:f>'500件商品'!B230</x:f>
        <x:v>季節禮盒-標準箱</x:v>
      </x:c>
      <x:c r="C230" s="24" t="str">
        <x:f>'500件商品'!D230</x:f>
        <x:v>Cluster 4</x:v>
      </x:c>
      <x:c r="D230" s="26" t="n">
        <x:f>'500件商品'!F230</x:f>
        <x:v>23</x:v>
      </x:c>
      <x:c r="E230" s="24" t="str">
        <x:f>'500件商品'!K230</x:f>
        <x:v>是</x:v>
      </x:c>
      <x:c r="F230" s="24" t="str">
        <x:f>'500件商品'!L230</x:f>
        <x:v>1-2月</x:v>
      </x:c>
      <x:c r="G230" s="28" t="n">
        <x:f>'500件商品'!M230</x:f>
        <x:v>2.5</x:v>
      </x:c>
      <x:c r="H230" s="24" t="str">
        <x:f>'500件商品'!P230</x:f>
        <x:v>是</x:v>
      </x:c>
      <x:c r="I230" s="26" t="n">
        <x:f>'500件商品'!N230</x:f>
        <x:v>101</x:v>
      </x:c>
      <x:c r="J230" s="26" t="n">
        <x:f>'500件商品'!O230</x:f>
        <x:v>24</x:v>
      </x:c>
      <x:c r="K230" s="26" t="n">
        <x:f>IF(H230="是",CEILING(I230/J230,1),0)</x:f>
        <x:v>5</x:v>
      </x:c>
      <x:c r="L230" s="26" t="n">
        <x:f>ROUND(I230*G230,0)</x:f>
        <x:v>253</x:v>
      </x:c>
      <x:c r="M230" s="26" t="n">
        <x:f>IF(H230="是",CEILING(L230/J230,1),0)</x:f>
        <x:v>11</x:v>
      </x:c>
      <x:c r="N230" s="26" t="n">
        <x:f>M230-K230</x:f>
        <x:v>6</x:v>
      </x:c>
      <x:c r="O230" s="24" t="str">
        <x:f>'500件商品'!Q230</x:f>
        <x:v>遠端區</x:v>
      </x:c>
      <x:c r="P230" s="26" t="n">
        <x:f>'500件商品'!R230</x:f>
        <x:v>75</x:v>
      </x:c>
      <x:c r="Q230" s="24" t="str">
        <x:f>IF(H230="否","非棧板管理",IF(AND(E230="是",N230&gt;0),"季節彈性前移區",IF(OR(C230="Cluster 3",D230&gt;=55),"近端低層棧板區",IF(C230="Cluster 2","中段大貨位",IF(C230="Cluster 4","遠端彈性儲位","中段棧板區")))))</x:f>
        <x:v>季節彈性前移區</x:v>
      </x:c>
      <x:c r="R230" s="24" t="str">
        <x:f>IF(AND(H230="是",E230="是",N230&gt;0),"是","否")</x:f>
        <x:v>是</x:v>
      </x:c>
      <x:c r="S230" s="24" t="str">
        <x:f>IF(H230="否","非本次棧板儲位分析對象",IF(R230="是","旺季前需前移並增加棧板位",IF(N230&gt;0,"需增加棧板位",IF(N230&lt;0,"可釋放部分棧板位","維持現況"))))</x:f>
        <x:v>旺季前需前移並增加棧板位</x:v>
      </x:c>
    </x:row>
    <x:row r="231">
      <x:c r="A231" s="24" t="str">
        <x:f>'500件商品'!A231</x:f>
        <x:v>PX0227</x:v>
      </x:c>
      <x:c r="B231" s="24" t="str">
        <x:f>'500件商品'!B231</x:f>
        <x:v>包裝膠帶-家庭號</x:v>
      </x:c>
      <x:c r="C231" s="24" t="str">
        <x:f>'500件商品'!D231</x:f>
        <x:v>Cluster 5</x:v>
      </x:c>
      <x:c r="D231" s="26" t="n">
        <x:f>'500件商品'!F231</x:f>
        <x:v>10</x:v>
      </x:c>
      <x:c r="E231" s="24" t="str">
        <x:f>'500件商品'!K231</x:f>
        <x:v>否</x:v>
      </x:c>
      <x:c r="F231" s="24" t="str">
        <x:f>'500件商品'!L231</x:f>
      </x:c>
      <x:c r="G231" s="28" t="n">
        <x:f>'500件商品'!M231</x:f>
        <x:v>1</x:v>
      </x:c>
      <x:c r="H231" s="24" t="str">
        <x:f>'500件商品'!P231</x:f>
        <x:v>否</x:v>
      </x:c>
      <x:c r="I231" s="26" t="n">
        <x:f>'500件商品'!N231</x:f>
        <x:v>59</x:v>
      </x:c>
      <x:c r="J231" s="26" t="str">
        <x:f>'500件商品'!O231</x:f>
      </x:c>
      <x:c r="K231" s="26" t="n">
        <x:f>IF(H231="是",CEILING(I231/J231,1),0)</x:f>
        <x:v>0</x:v>
      </x:c>
      <x:c r="L231" s="26" t="n">
        <x:f>ROUND(I231*G231,0)</x:f>
        <x:v>59</x:v>
      </x:c>
      <x:c r="M231" s="26" t="n">
        <x:f>IF(H231="是",CEILING(L231/J231,1),0)</x:f>
        <x:v>0</x:v>
      </x:c>
      <x:c r="N231" s="26" t="n">
        <x:f>M231-K231</x:f>
        <x:v>0</x:v>
      </x:c>
      <x:c r="O231" s="24" t="str">
        <x:f>'500件商品'!Q231</x:f>
        <x:v>3區</x:v>
      </x:c>
      <x:c r="P231" s="26" t="n">
        <x:f>'500件商品'!R231</x:f>
        <x:v>32</x:v>
      </x:c>
      <x:c r="Q231" s="24" t="str">
        <x:f>IF(H231="否","非棧板管理",IF(AND(E231="是",N231&gt;0),"季節彈性前移區",IF(OR(C231="Cluster 3",D231&gt;=55),"近端低層棧板區",IF(C231="Cluster 2","中段大貨位",IF(C231="Cluster 4","遠端彈性儲位","中段棧板區")))))</x:f>
        <x:v>非棧板管理</x:v>
      </x:c>
      <x:c r="R231" s="24" t="str">
        <x:f>IF(AND(H231="是",E231="是",N231&gt;0),"是","否")</x:f>
        <x:v>否</x:v>
      </x:c>
      <x:c r="S231" s="24" t="str">
        <x:f>IF(H231="否","非本次棧板儲位分析對象",IF(R231="是","旺季前需前移並增加棧板位",IF(N231&gt;0,"需增加棧板位",IF(N231&lt;0,"可釋放部分棧板位","維持現況"))))</x:f>
        <x:v>非本次棧板儲位分析對象</x:v>
      </x:c>
    </x:row>
    <x:row r="232">
      <x:c r="A232" s="24" t="str">
        <x:f>'500件商品'!A232</x:f>
        <x:v>PX0228</x:v>
      </x:c>
      <x:c r="B232" s="24" t="str">
        <x:f>'500件商品'!B232</x:f>
        <x:v>抹布組-小包裝</x:v>
      </x:c>
      <x:c r="C232" s="24" t="str">
        <x:f>'500件商品'!D232</x:f>
        <x:v>Cluster 5</x:v>
      </x:c>
      <x:c r="D232" s="26" t="n">
        <x:f>'500件商品'!F232</x:f>
        <x:v>34</x:v>
      </x:c>
      <x:c r="E232" s="24" t="str">
        <x:f>'500件商品'!K232</x:f>
        <x:v>否</x:v>
      </x:c>
      <x:c r="F232" s="24" t="str">
        <x:f>'500件商品'!L232</x:f>
      </x:c>
      <x:c r="G232" s="28" t="n">
        <x:f>'500件商品'!M232</x:f>
        <x:v>1</x:v>
      </x:c>
      <x:c r="H232" s="24" t="str">
        <x:f>'500件商品'!P232</x:f>
        <x:v>是</x:v>
      </x:c>
      <x:c r="I232" s="26" t="n">
        <x:f>'500件商品'!N232</x:f>
        <x:v>197</x:v>
      </x:c>
      <x:c r="J232" s="26" t="n">
        <x:f>'500件商品'!O232</x:f>
        <x:v>72</x:v>
      </x:c>
      <x:c r="K232" s="26" t="n">
        <x:f>IF(H232="是",CEILING(I232/J232,1),0)</x:f>
        <x:v>3</x:v>
      </x:c>
      <x:c r="L232" s="26" t="n">
        <x:f>ROUND(I232*G232,0)</x:f>
        <x:v>197</x:v>
      </x:c>
      <x:c r="M232" s="26" t="n">
        <x:f>IF(H232="是",CEILING(L232/J232,1),0)</x:f>
        <x:v>3</x:v>
      </x:c>
      <x:c r="N232" s="26" t="n">
        <x:f>M232-K232</x:f>
        <x:v>0</x:v>
      </x:c>
      <x:c r="O232" s="24" t="str">
        <x:f>'500件商品'!Q232</x:f>
        <x:v>3區</x:v>
      </x:c>
      <x:c r="P232" s="26" t="n">
        <x:f>'500件商品'!R232</x:f>
        <x:v>32</x:v>
      </x:c>
      <x:c r="Q232" s="24" t="str">
        <x:f>IF(H232="否","非棧板管理",IF(AND(E232="是",N232&gt;0),"季節彈性前移區",IF(OR(C232="Cluster 3",D232&gt;=55),"近端低層棧板區",IF(C232="Cluster 2","中段大貨位",IF(C232="Cluster 4","遠端彈性儲位","中段棧板區")))))</x:f>
        <x:v>中段棧板區</x:v>
      </x:c>
      <x:c r="R232" s="24" t="str">
        <x:f>IF(AND(H232="是",E232="是",N232&gt;0),"是","否")</x:f>
        <x:v>否</x:v>
      </x:c>
      <x:c r="S232" s="24" t="str">
        <x:f>IF(H232="否","非本次棧板儲位分析對象",IF(R232="是","旺季前需前移並增加棧板位",IF(N232&gt;0,"需增加棧板位",IF(N232&lt;0,"可釋放部分棧板位","維持現況"))))</x:f>
        <x:v>維持現況</x:v>
      </x:c>
    </x:row>
    <x:row r="233">
      <x:c r="A233" s="24" t="str">
        <x:f>'500件商品'!A233</x:f>
        <x:v>PX0229</x:v>
      </x:c>
      <x:c r="B233" s="24" t="str">
        <x:f>'500件商品'!B233</x:f>
        <x:v>寵物罐頭箱-標準箱</x:v>
      </x:c>
      <x:c r="C233" s="24" t="str">
        <x:f>'500件商品'!D233</x:f>
        <x:v>Cluster 4</x:v>
      </x:c>
      <x:c r="D233" s="26" t="n">
        <x:f>'500件商品'!F233</x:f>
        <x:v>4</x:v>
      </x:c>
      <x:c r="E233" s="24" t="str">
        <x:f>'500件商品'!K233</x:f>
        <x:v>是</x:v>
      </x:c>
      <x:c r="F233" s="24" t="str">
        <x:f>'500件商品'!L233</x:f>
        <x:v>旺季</x:v>
      </x:c>
      <x:c r="G233" s="28" t="n">
        <x:f>'500件商品'!M233</x:f>
        <x:v>3</x:v>
      </x:c>
      <x:c r="H233" s="24" t="str">
        <x:f>'500件商品'!P233</x:f>
        <x:v>否</x:v>
      </x:c>
      <x:c r="I233" s="26" t="n">
        <x:f>'500件商品'!N233</x:f>
        <x:v>128</x:v>
      </x:c>
      <x:c r="J233" s="26" t="str">
        <x:f>'500件商品'!O233</x:f>
      </x:c>
      <x:c r="K233" s="26" t="n">
        <x:f>IF(H233="是",CEILING(I233/J233,1),0)</x:f>
        <x:v>0</x:v>
      </x:c>
      <x:c r="L233" s="26" t="n">
        <x:f>ROUND(I233*G233,0)</x:f>
        <x:v>384</x:v>
      </x:c>
      <x:c r="M233" s="26" t="n">
        <x:f>IF(H233="是",CEILING(L233/J233,1),0)</x:f>
        <x:v>0</x:v>
      </x:c>
      <x:c r="N233" s="26" t="n">
        <x:f>M233-K233</x:f>
        <x:v>0</x:v>
      </x:c>
      <x:c r="O233" s="24" t="str">
        <x:f>'500件商品'!Q233</x:f>
        <x:v>3區</x:v>
      </x:c>
      <x:c r="P233" s="26" t="n">
        <x:f>'500件商品'!R233</x:f>
        <x:v>32</x:v>
      </x:c>
      <x:c r="Q233" s="24" t="str">
        <x:f>IF(H233="否","非棧板管理",IF(AND(E233="是",N233&gt;0),"季節彈性前移區",IF(OR(C233="Cluster 3",D233&gt;=55),"近端低層棧板區",IF(C233="Cluster 2","中段大貨位",IF(C233="Cluster 4","遠端彈性儲位","中段棧板區")))))</x:f>
        <x:v>非棧板管理</x:v>
      </x:c>
      <x:c r="R233" s="24" t="str">
        <x:f>IF(AND(H233="是",E233="是",N233&gt;0),"是","否")</x:f>
        <x:v>否</x:v>
      </x:c>
      <x:c r="S233" s="24" t="str">
        <x:f>IF(H233="否","非本次棧板儲位分析對象",IF(R233="是","旺季前需前移並增加棧板位",IF(N233&gt;0,"需增加棧板位",IF(N233&lt;0,"可釋放部分棧板位","維持現況"))))</x:f>
        <x:v>非本次棧板儲位分析對象</x:v>
      </x:c>
    </x:row>
    <x:row r="234">
      <x:c r="A234" s="24" t="str">
        <x:f>'500件商品'!A234</x:f>
        <x:v>PX0230</x:v>
      </x:c>
      <x:c r="B234" s="24" t="str">
        <x:f>'500件商品'!B234</x:f>
        <x:v>貓砂10L-小包裝</x:v>
      </x:c>
      <x:c r="C234" s="24" t="str">
        <x:f>'500件商品'!D234</x:f>
        <x:v>Cluster 2</x:v>
      </x:c>
      <x:c r="D234" s="26" t="n">
        <x:f>'500件商品'!F234</x:f>
        <x:v>33</x:v>
      </x:c>
      <x:c r="E234" s="24" t="str">
        <x:f>'500件商品'!K234</x:f>
        <x:v>否</x:v>
      </x:c>
      <x:c r="F234" s="24" t="str">
        <x:f>'500件商品'!L234</x:f>
      </x:c>
      <x:c r="G234" s="28" t="n">
        <x:f>'500件商品'!M234</x:f>
        <x:v>1</x:v>
      </x:c>
      <x:c r="H234" s="24" t="str">
        <x:f>'500件商品'!P234</x:f>
        <x:v>是</x:v>
      </x:c>
      <x:c r="I234" s="26" t="n">
        <x:f>'500件商品'!N234</x:f>
        <x:v>264</x:v>
      </x:c>
      <x:c r="J234" s="26" t="n">
        <x:f>'500件商品'!O234</x:f>
        <x:v>20</x:v>
      </x:c>
      <x:c r="K234" s="26" t="n">
        <x:f>IF(H234="是",CEILING(I234/J234,1),0)</x:f>
        <x:v>14</x:v>
      </x:c>
      <x:c r="L234" s="26" t="n">
        <x:f>ROUND(I234*G234,0)</x:f>
        <x:v>264</x:v>
      </x:c>
      <x:c r="M234" s="26" t="n">
        <x:f>IF(H234="是",CEILING(L234/J234,1),0)</x:f>
        <x:v>14</x:v>
      </x:c>
      <x:c r="N234" s="26" t="n">
        <x:f>M234-K234</x:f>
        <x:v>0</x:v>
      </x:c>
      <x:c r="O234" s="24" t="str">
        <x:f>'500件商品'!Q234</x:f>
        <x:v>1區</x:v>
      </x:c>
      <x:c r="P234" s="26" t="n">
        <x:f>'500件商品'!R234</x:f>
        <x:v>28</x:v>
      </x:c>
      <x:c r="Q234" s="24" t="str">
        <x:f>IF(H234="否","非棧板管理",IF(AND(E234="是",N234&gt;0),"季節彈性前移區",IF(OR(C234="Cluster 3",D234&gt;=55),"近端低層棧板區",IF(C234="Cluster 2","中段大貨位",IF(C234="Cluster 4","遠端彈性儲位","中段棧板區")))))</x:f>
        <x:v>中段大貨位</x:v>
      </x:c>
      <x:c r="R234" s="24" t="str">
        <x:f>IF(AND(H234="是",E234="是",N234&gt;0),"是","否")</x:f>
        <x:v>否</x:v>
      </x:c>
      <x:c r="S234" s="24" t="str">
        <x:f>IF(H234="否","非本次棧板儲位分析對象",IF(R234="是","旺季前需前移並增加棧板位",IF(N234&gt;0,"需增加棧板位",IF(N234&lt;0,"可釋放部分棧板位","維持現況"))))</x:f>
        <x:v>維持現況</x:v>
      </x:c>
    </x:row>
    <x:row r="235">
      <x:c r="A235" s="24" t="str">
        <x:f>'500件商品'!A235</x:f>
        <x:v>PX0231</x:v>
      </x:c>
      <x:c r="B235" s="24" t="str">
        <x:f>'500件商品'!B235</x:f>
        <x:v>年節禮盒組-家庭號</x:v>
      </x:c>
      <x:c r="C235" s="24" t="str">
        <x:f>'500件商品'!D235</x:f>
        <x:v>Cluster 4</x:v>
      </x:c>
      <x:c r="D235" s="26" t="n">
        <x:f>'500件商品'!F235</x:f>
        <x:v>10</x:v>
      </x:c>
      <x:c r="E235" s="24" t="str">
        <x:f>'500件商品'!K235</x:f>
        <x:v>是</x:v>
      </x:c>
      <x:c r="F235" s="24" t="str">
        <x:f>'500件商品'!L235</x:f>
        <x:v>1-2月</x:v>
      </x:c>
      <x:c r="G235" s="28" t="n">
        <x:f>'500件商品'!M235</x:f>
        <x:v>3</x:v>
      </x:c>
      <x:c r="H235" s="24" t="str">
        <x:f>'500件商品'!P235</x:f>
        <x:v>是</x:v>
      </x:c>
      <x:c r="I235" s="26" t="n">
        <x:f>'500件商品'!N235</x:f>
        <x:v>124</x:v>
      </x:c>
      <x:c r="J235" s="26" t="n">
        <x:f>'500件商品'!O235</x:f>
        <x:v>30</x:v>
      </x:c>
      <x:c r="K235" s="26" t="n">
        <x:f>IF(H235="是",CEILING(I235/J235,1),0)</x:f>
        <x:v>5</x:v>
      </x:c>
      <x:c r="L235" s="26" t="n">
        <x:f>ROUND(I235*G235,0)</x:f>
        <x:v>372</x:v>
      </x:c>
      <x:c r="M235" s="26" t="n">
        <x:f>IF(H235="是",CEILING(L235/J235,1),0)</x:f>
        <x:v>13</x:v>
      </x:c>
      <x:c r="N235" s="26" t="n">
        <x:f>M235-K235</x:f>
        <x:v>8</x:v>
      </x:c>
      <x:c r="O235" s="24" t="str">
        <x:f>'500件商品'!Q235</x:f>
        <x:v>K區</x:v>
      </x:c>
      <x:c r="P235" s="26" t="n">
        <x:f>'500件商品'!R235</x:f>
        <x:v>38</x:v>
      </x:c>
      <x:c r="Q235" s="24" t="str">
        <x:f>IF(H235="否","非棧板管理",IF(AND(E235="是",N235&gt;0),"季節彈性前移區",IF(OR(C235="Cluster 3",D235&gt;=55),"近端低層棧板區",IF(C235="Cluster 2","中段大貨位",IF(C235="Cluster 4","遠端彈性儲位","中段棧板區")))))</x:f>
        <x:v>季節彈性前移區</x:v>
      </x:c>
      <x:c r="R235" s="24" t="str">
        <x:f>IF(AND(H235="是",E235="是",N235&gt;0),"是","否")</x:f>
        <x:v>是</x:v>
      </x:c>
      <x:c r="S235" s="24" t="str">
        <x:f>IF(H235="否","非本次棧板儲位分析對象",IF(R235="是","旺季前需前移並增加棧板位",IF(N235&gt;0,"需增加棧板位",IF(N235&lt;0,"可釋放部分棧板位","維持現況"))))</x:f>
        <x:v>旺季前需前移並增加棧板位</x:v>
      </x:c>
    </x:row>
    <x:row r="236">
      <x:c r="A236" s="24" t="str">
        <x:f>'500件商品'!A236</x:f>
        <x:v>PX0232</x:v>
      </x:c>
      <x:c r="B236" s="24" t="str">
        <x:f>'500件商品'!B236</x:f>
        <x:v>衣架組-補充包</x:v>
      </x:c>
      <x:c r="C236" s="24" t="str">
        <x:f>'500件商品'!D236</x:f>
        <x:v>Cluster 5</x:v>
      </x:c>
      <x:c r="D236" s="26" t="n">
        <x:f>'500件商品'!F236</x:f>
        <x:v>39</x:v>
      </x:c>
      <x:c r="E236" s="24" t="str">
        <x:f>'500件商品'!K236</x:f>
        <x:v>否</x:v>
      </x:c>
      <x:c r="F236" s="24" t="str">
        <x:f>'500件商品'!L236</x:f>
      </x:c>
      <x:c r="G236" s="28" t="n">
        <x:f>'500件商品'!M236</x:f>
        <x:v>1</x:v>
      </x:c>
      <x:c r="H236" s="24" t="str">
        <x:f>'500件商品'!P236</x:f>
        <x:v>是</x:v>
      </x:c>
      <x:c r="I236" s="26" t="n">
        <x:f>'500件商品'!N236</x:f>
        <x:v>389</x:v>
      </x:c>
      <x:c r="J236" s="26" t="n">
        <x:f>'500件商品'!O236</x:f>
        <x:v>80</x:v>
      </x:c>
      <x:c r="K236" s="26" t="n">
        <x:f>IF(H236="是",CEILING(I236/J236,1),0)</x:f>
        <x:v>5</x:v>
      </x:c>
      <x:c r="L236" s="26" t="n">
        <x:f>ROUND(I236*G236,0)</x:f>
        <x:v>389</x:v>
      </x:c>
      <x:c r="M236" s="26" t="n">
        <x:f>IF(H236="是",CEILING(L236/J236,1),0)</x:f>
        <x:v>5</x:v>
      </x:c>
      <x:c r="N236" s="26" t="n">
        <x:f>M236-K236</x:f>
        <x:v>0</x:v>
      </x:c>
      <x:c r="O236" s="24" t="str">
        <x:f>'500件商品'!Q236</x:f>
        <x:v>3區</x:v>
      </x:c>
      <x:c r="P236" s="26" t="n">
        <x:f>'500件商品'!R236</x:f>
        <x:v>36</x:v>
      </x:c>
      <x:c r="Q236" s="24" t="str">
        <x:f>IF(H236="否","非棧板管理",IF(AND(E236="是",N236&gt;0),"季節彈性前移區",IF(OR(C236="Cluster 3",D236&gt;=55),"近端低層棧板區",IF(C236="Cluster 2","中段大貨位",IF(C236="Cluster 4","遠端彈性儲位","中段棧板區")))))</x:f>
        <x:v>中段棧板區</x:v>
      </x:c>
      <x:c r="R236" s="24" t="str">
        <x:f>IF(AND(H236="是",E236="是",N236&gt;0),"是","否")</x:f>
        <x:v>否</x:v>
      </x:c>
      <x:c r="S236" s="24" t="str">
        <x:f>IF(H236="否","非本次棧板儲位分析對象",IF(R236="是","旺季前需前移並增加棧板位",IF(N236&gt;0,"需增加棧板位",IF(N236&lt;0,"可釋放部分棧板位","維持現況"))))</x:f>
        <x:v>維持現況</x:v>
      </x:c>
    </x:row>
    <x:row r="237">
      <x:c r="A237" s="24" t="str">
        <x:f>'500件商品'!A237</x:f>
        <x:v>PX0233</x:v>
      </x:c>
      <x:c r="B237" s="24" t="str">
        <x:f>'500件商品'!B237</x:f>
        <x:v>保鮮膜-補充包</x:v>
      </x:c>
      <x:c r="C237" s="24" t="str">
        <x:f>'500件商品'!D237</x:f>
        <x:v>Cluster 2</x:v>
      </x:c>
      <x:c r="D237" s="26" t="n">
        <x:f>'500件商品'!F237</x:f>
        <x:v>27</x:v>
      </x:c>
      <x:c r="E237" s="24" t="str">
        <x:f>'500件商品'!K237</x:f>
        <x:v>否</x:v>
      </x:c>
      <x:c r="F237" s="24" t="str">
        <x:f>'500件商品'!L237</x:f>
      </x:c>
      <x:c r="G237" s="28" t="n">
        <x:f>'500件商品'!M237</x:f>
        <x:v>1.1</x:v>
      </x:c>
      <x:c r="H237" s="24" t="str">
        <x:f>'500件商品'!P237</x:f>
        <x:v>是</x:v>
      </x:c>
      <x:c r="I237" s="26" t="n">
        <x:f>'500件商品'!N237</x:f>
        <x:v>167</x:v>
      </x:c>
      <x:c r="J237" s="26" t="n">
        <x:f>'500件商品'!O237</x:f>
        <x:v>18</x:v>
      </x:c>
      <x:c r="K237" s="26" t="n">
        <x:f>IF(H237="是",CEILING(I237/J237,1),0)</x:f>
        <x:v>10</x:v>
      </x:c>
      <x:c r="L237" s="26" t="n">
        <x:f>ROUND(I237*G237,0)</x:f>
        <x:v>184</x:v>
      </x:c>
      <x:c r="M237" s="26" t="n">
        <x:f>IF(H237="是",CEILING(L237/J237,1),0)</x:f>
        <x:v>11</x:v>
      </x:c>
      <x:c r="N237" s="26" t="n">
        <x:f>M237-K237</x:f>
        <x:v>1</x:v>
      </x:c>
      <x:c r="O237" s="24" t="str">
        <x:f>'500件商品'!Q237</x:f>
        <x:v>K區</x:v>
      </x:c>
      <x:c r="P237" s="26" t="n">
        <x:f>'500件商品'!R237</x:f>
        <x:v>44</x:v>
      </x:c>
      <x:c r="Q237" s="24" t="str">
        <x:f>IF(H237="否","非棧板管理",IF(AND(E237="是",N237&gt;0),"季節彈性前移區",IF(OR(C237="Cluster 3",D237&gt;=55),"近端低層棧板區",IF(C237="Cluster 2","中段大貨位",IF(C237="Cluster 4","遠端彈性儲位","中段棧板區")))))</x:f>
        <x:v>中段大貨位</x:v>
      </x:c>
      <x:c r="R237" s="24" t="str">
        <x:f>IF(AND(H237="是",E237="是",N237&gt;0),"是","否")</x:f>
        <x:v>否</x:v>
      </x:c>
      <x:c r="S237" s="24" t="str">
        <x:f>IF(H237="否","非本次棧板儲位分析對象",IF(R237="是","旺季前需前移並增加棧板位",IF(N237&gt;0,"需增加棧板位",IF(N237&lt;0,"可釋放部分棧板位","維持現況"))))</x:f>
        <x:v>需增加棧板位</x:v>
      </x:c>
    </x:row>
    <x:row r="238">
      <x:c r="A238" s="24" t="str">
        <x:f>'500件商品'!A238</x:f>
        <x:v>PX0234</x:v>
      </x:c>
      <x:c r="B238" s="24" t="str">
        <x:f>'500件商品'!B238</x:f>
        <x:v>餅乾箱-標準箱</x:v>
      </x:c>
      <x:c r="C238" s="24" t="str">
        <x:f>'500件商品'!D238</x:f>
        <x:v>Cluster 5</x:v>
      </x:c>
      <x:c r="D238" s="26" t="n">
        <x:f>'500件商品'!F238</x:f>
        <x:v>29</x:v>
      </x:c>
      <x:c r="E238" s="24" t="str">
        <x:f>'500件商品'!K238</x:f>
        <x:v>否</x:v>
      </x:c>
      <x:c r="F238" s="24" t="str">
        <x:f>'500件商品'!L238</x:f>
      </x:c>
      <x:c r="G238" s="28" t="n">
        <x:f>'500件商品'!M238</x:f>
        <x:v>1.1</x:v>
      </x:c>
      <x:c r="H238" s="24" t="str">
        <x:f>'500件商品'!P238</x:f>
        <x:v>否</x:v>
      </x:c>
      <x:c r="I238" s="26" t="n">
        <x:f>'500件商品'!N238</x:f>
        <x:v>109</x:v>
      </x:c>
      <x:c r="J238" s="26" t="str">
        <x:f>'500件商品'!O238</x:f>
      </x:c>
      <x:c r="K238" s="26" t="n">
        <x:f>IF(H238="是",CEILING(I238/J238,1),0)</x:f>
        <x:v>0</x:v>
      </x:c>
      <x:c r="L238" s="26" t="n">
        <x:f>ROUND(I238*G238,0)</x:f>
        <x:v>120</x:v>
      </x:c>
      <x:c r="M238" s="26" t="n">
        <x:f>IF(H238="是",CEILING(L238/J238,1),0)</x:f>
        <x:v>0</x:v>
      </x:c>
      <x:c r="N238" s="26" t="n">
        <x:f>M238-K238</x:f>
        <x:v>0</x:v>
      </x:c>
      <x:c r="O238" s="24" t="str">
        <x:f>'500件商品'!Q238</x:f>
        <x:v>A區</x:v>
      </x:c>
      <x:c r="P238" s="26" t="n">
        <x:f>'500件商品'!R238</x:f>
        <x:v>31</x:v>
      </x:c>
      <x:c r="Q238" s="24" t="str">
        <x:f>IF(H238="否","非棧板管理",IF(AND(E238="是",N238&gt;0),"季節彈性前移區",IF(OR(C238="Cluster 3",D238&gt;=55),"近端低層棧板區",IF(C238="Cluster 2","中段大貨位",IF(C238="Cluster 4","遠端彈性儲位","中段棧板區")))))</x:f>
        <x:v>非棧板管理</x:v>
      </x:c>
      <x:c r="R238" s="24" t="str">
        <x:f>IF(AND(H238="是",E238="是",N238&gt;0),"是","否")</x:f>
        <x:v>否</x:v>
      </x:c>
      <x:c r="S238" s="24" t="str">
        <x:f>IF(H238="否","非本次棧板儲位分析對象",IF(R238="是","旺季前需前移並增加棧板位",IF(N238&gt;0,"需增加棧板位",IF(N238&lt;0,"可釋放部分棧板位","維持現況"))))</x:f>
        <x:v>非本次棧板儲位分析對象</x:v>
      </x:c>
    </x:row>
    <x:row r="239">
      <x:c r="A239" s="24" t="str">
        <x:f>'500件商品'!A239</x:f>
        <x:v>PX0235</x:v>
      </x:c>
      <x:c r="B239" s="24" t="str">
        <x:f>'500件商品'!B239</x:f>
        <x:v>漂白水-小包裝</x:v>
      </x:c>
      <x:c r="C239" s="24" t="str">
        <x:f>'500件商品'!D239</x:f>
        <x:v>Cluster 2</x:v>
      </x:c>
      <x:c r="D239" s="26" t="n">
        <x:f>'500件商品'!F239</x:f>
        <x:v>46</x:v>
      </x:c>
      <x:c r="E239" s="24" t="str">
        <x:f>'500件商品'!K239</x:f>
        <x:v>否</x:v>
      </x:c>
      <x:c r="F239" s="24" t="str">
        <x:f>'500件商品'!L239</x:f>
      </x:c>
      <x:c r="G239" s="28" t="n">
        <x:f>'500件商品'!M239</x:f>
        <x:v>1.2</x:v>
      </x:c>
      <x:c r="H239" s="24" t="str">
        <x:f>'500件商品'!P239</x:f>
        <x:v>是</x:v>
      </x:c>
      <x:c r="I239" s="26" t="n">
        <x:f>'500件商品'!N239</x:f>
        <x:v>168</x:v>
      </x:c>
      <x:c r="J239" s="26" t="n">
        <x:f>'500件商品'!O239</x:f>
        <x:v>40</x:v>
      </x:c>
      <x:c r="K239" s="26" t="n">
        <x:f>IF(H239="是",CEILING(I239/J239,1),0)</x:f>
        <x:v>5</x:v>
      </x:c>
      <x:c r="L239" s="26" t="n">
        <x:f>ROUND(I239*G239,0)</x:f>
        <x:v>202</x:v>
      </x:c>
      <x:c r="M239" s="26" t="n">
        <x:f>IF(H239="是",CEILING(L239/J239,1),0)</x:f>
        <x:v>6</x:v>
      </x:c>
      <x:c r="N239" s="26" t="n">
        <x:f>M239-K239</x:f>
        <x:v>1</x:v>
      </x:c>
      <x:c r="O239" s="24" t="str">
        <x:f>'500件商品'!Q239</x:f>
        <x:v>K區</x:v>
      </x:c>
      <x:c r="P239" s="26" t="n">
        <x:f>'500件商品'!R239</x:f>
        <x:v>54</x:v>
      </x:c>
      <x:c r="Q239" s="24" t="str">
        <x:f>IF(H239="否","非棧板管理",IF(AND(E239="是",N239&gt;0),"季節彈性前移區",IF(OR(C239="Cluster 3",D239&gt;=55),"近端低層棧板區",IF(C239="Cluster 2","中段大貨位",IF(C239="Cluster 4","遠端彈性儲位","中段棧板區")))))</x:f>
        <x:v>中段大貨位</x:v>
      </x:c>
      <x:c r="R239" s="24" t="str">
        <x:f>IF(AND(H239="是",E239="是",N239&gt;0),"是","否")</x:f>
        <x:v>否</x:v>
      </x:c>
      <x:c r="S239" s="24" t="str">
        <x:f>IF(H239="否","非本次棧板儲位分析對象",IF(R239="是","旺季前需前移並增加棧板位",IF(N239&gt;0,"需增加棧板位",IF(N239&lt;0,"可釋放部分棧板位","維持現況"))))</x:f>
        <x:v>需增加棧板位</x:v>
      </x:c>
    </x:row>
    <x:row r="240">
      <x:c r="A240" s="24" t="str">
        <x:f>'500件商品'!A240</x:f>
        <x:v>PX0236</x:v>
      </x:c>
      <x:c r="B240" s="24" t="str">
        <x:f>'500件商品'!B240</x:f>
        <x:v>廚房紙巾-小包裝</x:v>
      </x:c>
      <x:c r="C240" s="24" t="str">
        <x:f>'500件商品'!D240</x:f>
        <x:v>Cluster 2</x:v>
      </x:c>
      <x:c r="D240" s="26" t="n">
        <x:f>'500件商品'!F240</x:f>
        <x:v>60</x:v>
      </x:c>
      <x:c r="E240" s="24" t="str">
        <x:f>'500件商品'!K240</x:f>
        <x:v>否</x:v>
      </x:c>
      <x:c r="F240" s="24" t="str">
        <x:f>'500件商品'!L240</x:f>
      </x:c>
      <x:c r="G240" s="28" t="n">
        <x:f>'500件商品'!M240</x:f>
        <x:v>1</x:v>
      </x:c>
      <x:c r="H240" s="24" t="str">
        <x:f>'500件商品'!P240</x:f>
        <x:v>是</x:v>
      </x:c>
      <x:c r="I240" s="26" t="n">
        <x:f>'500件商品'!N240</x:f>
        <x:v>575</x:v>
      </x:c>
      <x:c r="J240" s="26" t="n">
        <x:f>'500件商品'!O240</x:f>
        <x:v>18</x:v>
      </x:c>
      <x:c r="K240" s="26" t="n">
        <x:f>IF(H240="是",CEILING(I240/J240,1),0)</x:f>
        <x:v>32</x:v>
      </x:c>
      <x:c r="L240" s="26" t="n">
        <x:f>ROUND(I240*G240,0)</x:f>
        <x:v>575</x:v>
      </x:c>
      <x:c r="M240" s="26" t="n">
        <x:f>IF(H240="是",CEILING(L240/J240,1),0)</x:f>
        <x:v>32</x:v>
      </x:c>
      <x:c r="N240" s="26" t="n">
        <x:f>M240-K240</x:f>
        <x:v>0</x:v>
      </x:c>
      <x:c r="O240" s="24" t="str">
        <x:f>'500件商品'!Q240</x:f>
        <x:v>彈性區</x:v>
      </x:c>
      <x:c r="P240" s="26" t="n">
        <x:f>'500件商品'!R240</x:f>
        <x:v>63</x:v>
      </x:c>
      <x:c r="Q240" s="24" t="str">
        <x:f>IF(H240="否","非棧板管理",IF(AND(E240="是",N240&gt;0),"季節彈性前移區",IF(OR(C240="Cluster 3",D240&gt;=55),"近端低層棧板區",IF(C240="Cluster 2","中段大貨位",IF(C240="Cluster 4","遠端彈性儲位","中段棧板區")))))</x:f>
        <x:v>近端低層棧板區</x:v>
      </x:c>
      <x:c r="R240" s="24" t="str">
        <x:f>IF(AND(H240="是",E240="是",N240&gt;0),"是","否")</x:f>
        <x:v>否</x:v>
      </x:c>
      <x:c r="S240" s="24" t="str">
        <x:f>IF(H240="否","非本次棧板儲位分析對象",IF(R240="是","旺季前需前移並增加棧板位",IF(N240&gt;0,"需增加棧板位",IF(N240&lt;0,"可釋放部分棧板位","維持現況"))))</x:f>
        <x:v>維持現況</x:v>
      </x:c>
    </x:row>
    <x:row r="241">
      <x:c r="A241" s="24" t="str">
        <x:f>'500件商品'!A241</x:f>
        <x:v>PX0237</x:v>
      </x:c>
      <x:c r="B241" s="24" t="str">
        <x:f>'500件商品'!B241</x:f>
        <x:v>衣架組-補充包</x:v>
      </x:c>
      <x:c r="C241" s="24" t="str">
        <x:f>'500件商品'!D241</x:f>
        <x:v>Cluster 5</x:v>
      </x:c>
      <x:c r="D241" s="26" t="n">
        <x:f>'500件商品'!F241</x:f>
        <x:v>43</x:v>
      </x:c>
      <x:c r="E241" s="24" t="str">
        <x:f>'500件商品'!K241</x:f>
        <x:v>否</x:v>
      </x:c>
      <x:c r="F241" s="24" t="str">
        <x:f>'500件商品'!L241</x:f>
      </x:c>
      <x:c r="G241" s="28" t="n">
        <x:f>'500件商品'!M241</x:f>
        <x:v>1.1</x:v>
      </x:c>
      <x:c r="H241" s="24" t="str">
        <x:f>'500件商品'!P241</x:f>
        <x:v>是</x:v>
      </x:c>
      <x:c r="I241" s="26" t="n">
        <x:f>'500件商品'!N241</x:f>
        <x:v>185</x:v>
      </x:c>
      <x:c r="J241" s="26" t="n">
        <x:f>'500件商品'!O241</x:f>
        <x:v>80</x:v>
      </x:c>
      <x:c r="K241" s="26" t="n">
        <x:f>IF(H241="是",CEILING(I241/J241,1),0)</x:f>
        <x:v>3</x:v>
      </x:c>
      <x:c r="L241" s="26" t="n">
        <x:f>ROUND(I241*G241,0)</x:f>
        <x:v>204</x:v>
      </x:c>
      <x:c r="M241" s="26" t="n">
        <x:f>IF(H241="是",CEILING(L241/J241,1),0)</x:f>
        <x:v>3</x:v>
      </x:c>
      <x:c r="N241" s="26" t="n">
        <x:f>M241-K241</x:f>
        <x:v>0</x:v>
      </x:c>
      <x:c r="O241" s="24" t="str">
        <x:f>'500件商品'!Q241</x:f>
        <x:v>彈性區</x:v>
      </x:c>
      <x:c r="P241" s="26" t="n">
        <x:f>'500件商品'!R241</x:f>
        <x:v>59</x:v>
      </x:c>
      <x:c r="Q241" s="24" t="str">
        <x:f>IF(H241="否","非棧板管理",IF(AND(E241="是",N241&gt;0),"季節彈性前移區",IF(OR(C241="Cluster 3",D241&gt;=55),"近端低層棧板區",IF(C241="Cluster 2","中段大貨位",IF(C241="Cluster 4","遠端彈性儲位","中段棧板區")))))</x:f>
        <x:v>中段棧板區</x:v>
      </x:c>
      <x:c r="R241" s="24" t="str">
        <x:f>IF(AND(H241="是",E241="是",N241&gt;0),"是","否")</x:f>
        <x:v>否</x:v>
      </x:c>
      <x:c r="S241" s="24" t="str">
        <x:f>IF(H241="否","非本次棧板儲位分析對象",IF(R241="是","旺季前需前移並增加棧板位",IF(N241&gt;0,"需增加棧板位",IF(N241&lt;0,"可釋放部分棧板位","維持現況"))))</x:f>
        <x:v>維持現況</x:v>
      </x:c>
    </x:row>
    <x:row r="242">
      <x:c r="A242" s="24" t="str">
        <x:f>'500件商品'!A242</x:f>
        <x:v>PX0238</x:v>
      </x:c>
      <x:c r="B242" s="24" t="str">
        <x:f>'500件商品'!B242</x:f>
        <x:v>貓砂10L-補充包</x:v>
      </x:c>
      <x:c r="C242" s="24" t="str">
        <x:f>'500件商品'!D242</x:f>
        <x:v>Cluster 2</x:v>
      </x:c>
      <x:c r="D242" s="26" t="n">
        <x:f>'500件商品'!F242</x:f>
        <x:v>7</x:v>
      </x:c>
      <x:c r="E242" s="24" t="str">
        <x:f>'500件商品'!K242</x:f>
        <x:v>否</x:v>
      </x:c>
      <x:c r="F242" s="24" t="str">
        <x:f>'500件商品'!L242</x:f>
      </x:c>
      <x:c r="G242" s="28" t="n">
        <x:f>'500件商品'!M242</x:f>
        <x:v>1</x:v>
      </x:c>
      <x:c r="H242" s="24" t="str">
        <x:f>'500件商品'!P242</x:f>
        <x:v>是</x:v>
      </x:c>
      <x:c r="I242" s="26" t="n">
        <x:f>'500件商品'!N242</x:f>
        <x:v>67</x:v>
      </x:c>
      <x:c r="J242" s="26" t="n">
        <x:f>'500件商品'!O242</x:f>
        <x:v>20</x:v>
      </x:c>
      <x:c r="K242" s="26" t="n">
        <x:f>IF(H242="是",CEILING(I242/J242,1),0)</x:f>
        <x:v>4</x:v>
      </x:c>
      <x:c r="L242" s="26" t="n">
        <x:f>ROUND(I242*G242,0)</x:f>
        <x:v>67</x:v>
      </x:c>
      <x:c r="M242" s="26" t="n">
        <x:f>IF(H242="是",CEILING(L242/J242,1),0)</x:f>
        <x:v>4</x:v>
      </x:c>
      <x:c r="N242" s="26" t="n">
        <x:f>M242-K242</x:f>
        <x:v>0</x:v>
      </x:c>
      <x:c r="O242" s="24" t="str">
        <x:f>'500件商品'!Q242</x:f>
        <x:v>彈性區</x:v>
      </x:c>
      <x:c r="P242" s="26" t="n">
        <x:f>'500件商品'!R242</x:f>
        <x:v>51</x:v>
      </x:c>
      <x:c r="Q242" s="24" t="str">
        <x:f>IF(H242="否","非棧板管理",IF(AND(E242="是",N242&gt;0),"季節彈性前移區",IF(OR(C242="Cluster 3",D242&gt;=55),"近端低層棧板區",IF(C242="Cluster 2","中段大貨位",IF(C242="Cluster 4","遠端彈性儲位","中段棧板區")))))</x:f>
        <x:v>中段大貨位</x:v>
      </x:c>
      <x:c r="R242" s="24" t="str">
        <x:f>IF(AND(H242="是",E242="是",N242&gt;0),"是","否")</x:f>
        <x:v>否</x:v>
      </x:c>
      <x:c r="S242" s="24" t="str">
        <x:f>IF(H242="否","非本次棧板儲位分析對象",IF(R242="是","旺季前需前移並增加棧板位",IF(N242&gt;0,"需增加棧板位",IF(N242&lt;0,"可釋放部分棧板位","維持現況"))))</x:f>
        <x:v>維持現況</x:v>
      </x:c>
    </x:row>
    <x:row r="243">
      <x:c r="A243" s="24" t="str">
        <x:f>'500件商品'!A243</x:f>
        <x:v>PX0239</x:v>
      </x:c>
      <x:c r="B243" s="24" t="str">
        <x:f>'500件商品'!B243</x:f>
        <x:v>寵物罐頭箱-補充包</x:v>
      </x:c>
      <x:c r="C243" s="24" t="str">
        <x:f>'500件商品'!D243</x:f>
        <x:v>Cluster 5</x:v>
      </x:c>
      <x:c r="D243" s="26" t="n">
        <x:f>'500件商品'!F243</x:f>
        <x:v>19</x:v>
      </x:c>
      <x:c r="E243" s="24" t="str">
        <x:f>'500件商品'!K243</x:f>
        <x:v>否</x:v>
      </x:c>
      <x:c r="F243" s="24" t="str">
        <x:f>'500件商品'!L243</x:f>
      </x:c>
      <x:c r="G243" s="28" t="n">
        <x:f>'500件商品'!M243</x:f>
        <x:v>1</x:v>
      </x:c>
      <x:c r="H243" s="24" t="str">
        <x:f>'500件商品'!P243</x:f>
        <x:v>否</x:v>
      </x:c>
      <x:c r="I243" s="26" t="n">
        <x:f>'500件商品'!N243</x:f>
        <x:v>174</x:v>
      </x:c>
      <x:c r="J243" s="26" t="str">
        <x:f>'500件商品'!O243</x:f>
      </x:c>
      <x:c r="K243" s="26" t="n">
        <x:f>IF(H243="是",CEILING(I243/J243,1),0)</x:f>
        <x:v>0</x:v>
      </x:c>
      <x:c r="L243" s="26" t="n">
        <x:f>ROUND(I243*G243,0)</x:f>
        <x:v>174</x:v>
      </x:c>
      <x:c r="M243" s="26" t="n">
        <x:f>IF(H243="是",CEILING(L243/J243,1),0)</x:f>
        <x:v>0</x:v>
      </x:c>
      <x:c r="N243" s="26" t="n">
        <x:f>M243-K243</x:f>
        <x:v>0</x:v>
      </x:c>
      <x:c r="O243" s="24" t="str">
        <x:f>'500件商品'!Q243</x:f>
        <x:v>彈性區</x:v>
      </x:c>
      <x:c r="P243" s="26" t="n">
        <x:f>'500件商品'!R243</x:f>
        <x:v>50</x:v>
      </x:c>
      <x:c r="Q243" s="24" t="str">
        <x:f>IF(H243="否","非棧板管理",IF(AND(E243="是",N243&gt;0),"季節彈性前移區",IF(OR(C243="Cluster 3",D243&gt;=55),"近端低層棧板區",IF(C243="Cluster 2","中段大貨位",IF(C243="Cluster 4","遠端彈性儲位","中段棧板區")))))</x:f>
        <x:v>非棧板管理</x:v>
      </x:c>
      <x:c r="R243" s="24" t="str">
        <x:f>IF(AND(H243="是",E243="是",N243&gt;0),"是","否")</x:f>
        <x:v>否</x:v>
      </x:c>
      <x:c r="S243" s="24" t="str">
        <x:f>IF(H243="否","非本次棧板儲位分析對象",IF(R243="是","旺季前需前移並增加棧板位",IF(N243&gt;0,"需增加棧板位",IF(N243&lt;0,"可釋放部分棧板位","維持現況"))))</x:f>
        <x:v>非本次棧板儲位分析對象</x:v>
      </x:c>
    </x:row>
    <x:row r="244">
      <x:c r="A244" s="24" t="str">
        <x:f>'500件商品'!A244</x:f>
        <x:v>PX0240</x:v>
      </x:c>
      <x:c r="B244" s="24" t="str">
        <x:f>'500件商品'!B244</x:f>
        <x:v>地板清潔劑-家庭號</x:v>
      </x:c>
      <x:c r="C244" s="24" t="str">
        <x:f>'500件商品'!D244</x:f>
        <x:v>Cluster 1</x:v>
      </x:c>
      <x:c r="D244" s="26" t="n">
        <x:f>'500件商品'!F244</x:f>
        <x:v>33</x:v>
      </x:c>
      <x:c r="E244" s="24" t="str">
        <x:f>'500件商品'!K244</x:f>
        <x:v>否</x:v>
      </x:c>
      <x:c r="F244" s="24" t="str">
        <x:f>'500件商品'!L244</x:f>
      </x:c>
      <x:c r="G244" s="28" t="n">
        <x:f>'500件商品'!M244</x:f>
        <x:v>1</x:v>
      </x:c>
      <x:c r="H244" s="24" t="str">
        <x:f>'500件商品'!P244</x:f>
        <x:v>是</x:v>
      </x:c>
      <x:c r="I244" s="26" t="n">
        <x:f>'500件商品'!N244</x:f>
        <x:v>173</x:v>
      </x:c>
      <x:c r="J244" s="26" t="n">
        <x:f>'500件商品'!O244</x:f>
        <x:v>60</x:v>
      </x:c>
      <x:c r="K244" s="26" t="n">
        <x:f>IF(H244="是",CEILING(I244/J244,1),0)</x:f>
        <x:v>3</x:v>
      </x:c>
      <x:c r="L244" s="26" t="n">
        <x:f>ROUND(I244*G244,0)</x:f>
        <x:v>173</x:v>
      </x:c>
      <x:c r="M244" s="26" t="n">
        <x:f>IF(H244="是",CEILING(L244/J244,1),0)</x:f>
        <x:v>3</x:v>
      </x:c>
      <x:c r="N244" s="26" t="n">
        <x:f>M244-K244</x:f>
        <x:v>0</x:v>
      </x:c>
      <x:c r="O244" s="24" t="str">
        <x:f>'500件商品'!Q244</x:f>
        <x:v>K區</x:v>
      </x:c>
      <x:c r="P244" s="26" t="n">
        <x:f>'500件商品'!R244</x:f>
        <x:v>58</x:v>
      </x:c>
      <x:c r="Q244" s="24" t="str">
        <x:f>IF(H244="否","非棧板管理",IF(AND(E244="是",N244&gt;0),"季節彈性前移區",IF(OR(C244="Cluster 3",D244&gt;=55),"近端低層棧板區",IF(C244="Cluster 2","中段大貨位",IF(C244="Cluster 4","遠端彈性儲位","中段棧板區")))))</x:f>
        <x:v>中段棧板區</x:v>
      </x:c>
      <x:c r="R244" s="24" t="str">
        <x:f>IF(AND(H244="是",E244="是",N244&gt;0),"是","否")</x:f>
        <x:v>否</x:v>
      </x:c>
      <x:c r="S244" s="24" t="str">
        <x:f>IF(H244="否","非本次棧板儲位分析對象",IF(R244="是","旺季前需前移並增加棧板位",IF(N244&gt;0,"需增加棧板位",IF(N244&lt;0,"可釋放部分棧板位","維持現況"))))</x:f>
        <x:v>維持現況</x:v>
      </x:c>
    </x:row>
    <x:row r="245">
      <x:c r="A245" s="24" t="str">
        <x:f>'500件商品'!A245</x:f>
        <x:v>PX0241</x:v>
      </x:c>
      <x:c r="B245" s="24" t="str">
        <x:f>'500件商品'!B245</x:f>
        <x:v>擦手紙箱-箱裝</x:v>
      </x:c>
      <x:c r="C245" s="24" t="str">
        <x:f>'500件商品'!D245</x:f>
        <x:v>Cluster 5</x:v>
      </x:c>
      <x:c r="D245" s="26" t="n">
        <x:f>'500件商品'!F245</x:f>
        <x:v>27</x:v>
      </x:c>
      <x:c r="E245" s="24" t="str">
        <x:f>'500件商品'!K245</x:f>
        <x:v>否</x:v>
      </x:c>
      <x:c r="F245" s="24" t="str">
        <x:f>'500件商品'!L245</x:f>
      </x:c>
      <x:c r="G245" s="28" t="n">
        <x:f>'500件商品'!M245</x:f>
        <x:v>1</x:v>
      </x:c>
      <x:c r="H245" s="24" t="str">
        <x:f>'500件商品'!P245</x:f>
        <x:v>否</x:v>
      </x:c>
      <x:c r="I245" s="26" t="n">
        <x:f>'500件商品'!N245</x:f>
        <x:v>83</x:v>
      </x:c>
      <x:c r="J245" s="26" t="str">
        <x:f>'500件商品'!O245</x:f>
      </x:c>
      <x:c r="K245" s="26" t="n">
        <x:f>IF(H245="是",CEILING(I245/J245,1),0)</x:f>
        <x:v>0</x:v>
      </x:c>
      <x:c r="L245" s="26" t="n">
        <x:f>ROUND(I245*G245,0)</x:f>
        <x:v>83</x:v>
      </x:c>
      <x:c r="M245" s="26" t="n">
        <x:f>IF(H245="是",CEILING(L245/J245,1),0)</x:f>
        <x:v>0</x:v>
      </x:c>
      <x:c r="N245" s="26" t="n">
        <x:f>M245-K245</x:f>
        <x:v>0</x:v>
      </x:c>
      <x:c r="O245" s="24" t="str">
        <x:f>'500件商品'!Q245</x:f>
        <x:v>A區</x:v>
      </x:c>
      <x:c r="P245" s="26" t="n">
        <x:f>'500件商品'!R245</x:f>
        <x:v>36</x:v>
      </x:c>
      <x:c r="Q245" s="24" t="str">
        <x:f>IF(H245="否","非棧板管理",IF(AND(E245="是",N245&gt;0),"季節彈性前移區",IF(OR(C245="Cluster 3",D245&gt;=55),"近端低層棧板區",IF(C245="Cluster 2","中段大貨位",IF(C245="Cluster 4","遠端彈性儲位","中段棧板區")))))</x:f>
        <x:v>非棧板管理</x:v>
      </x:c>
      <x:c r="R245" s="24" t="str">
        <x:f>IF(AND(H245="是",E245="是",N245&gt;0),"是","否")</x:f>
        <x:v>否</x:v>
      </x:c>
      <x:c r="S245" s="24" t="str">
        <x:f>IF(H245="否","非本次棧板儲位分析對象",IF(R245="是","旺季前需前移並增加棧板位",IF(N245&gt;0,"需增加棧板位",IF(N245&lt;0,"可釋放部分棧板位","維持現況"))))</x:f>
        <x:v>非本次棧板儲位分析對象</x:v>
      </x:c>
    </x:row>
    <x:row r="246">
      <x:c r="A246" s="24" t="str">
        <x:f>'500件商品'!A246</x:f>
        <x:v>PX0242</x:v>
      </x:c>
      <x:c r="B246" s="24" t="str">
        <x:f>'500件商品'!B246</x:f>
        <x:v>洗衣粉箱-標準箱</x:v>
      </x:c>
      <x:c r="C246" s="24" t="str">
        <x:f>'500件商品'!D246</x:f>
        <x:v>Cluster 1</x:v>
      </x:c>
      <x:c r="D246" s="26" t="n">
        <x:f>'500件商品'!F246</x:f>
        <x:v>46</x:v>
      </x:c>
      <x:c r="E246" s="24" t="str">
        <x:f>'500件商品'!K246</x:f>
        <x:v>否</x:v>
      </x:c>
      <x:c r="F246" s="24" t="str">
        <x:f>'500件商品'!L246</x:f>
      </x:c>
      <x:c r="G246" s="28" t="n">
        <x:f>'500件商品'!M246</x:f>
        <x:v>1</x:v>
      </x:c>
      <x:c r="H246" s="24" t="str">
        <x:f>'500件商品'!P246</x:f>
        <x:v>是</x:v>
      </x:c>
      <x:c r="I246" s="26" t="n">
        <x:f>'500件商品'!N246</x:f>
        <x:v>297</x:v>
      </x:c>
      <x:c r="J246" s="26" t="n">
        <x:f>'500件商品'!O246</x:f>
        <x:v>80</x:v>
      </x:c>
      <x:c r="K246" s="26" t="n">
        <x:f>IF(H246="是",CEILING(I246/J246,1),0)</x:f>
        <x:v>4</x:v>
      </x:c>
      <x:c r="L246" s="26" t="n">
        <x:f>ROUND(I246*G246,0)</x:f>
        <x:v>297</x:v>
      </x:c>
      <x:c r="M246" s="26" t="n">
        <x:f>IF(H246="是",CEILING(L246/J246,1),0)</x:f>
        <x:v>4</x:v>
      </x:c>
      <x:c r="N246" s="26" t="n">
        <x:f>M246-K246</x:f>
        <x:v>0</x:v>
      </x:c>
      <x:c r="O246" s="24" t="str">
        <x:f>'500件商品'!Q246</x:f>
        <x:v>K區</x:v>
      </x:c>
      <x:c r="P246" s="26" t="n">
        <x:f>'500件商品'!R246</x:f>
        <x:v>41</x:v>
      </x:c>
      <x:c r="Q246" s="24" t="str">
        <x:f>IF(H246="否","非棧板管理",IF(AND(E246="是",N246&gt;0),"季節彈性前移區",IF(OR(C246="Cluster 3",D246&gt;=55),"近端低層棧板區",IF(C246="Cluster 2","中段大貨位",IF(C246="Cluster 4","遠端彈性儲位","中段棧板區")))))</x:f>
        <x:v>中段棧板區</x:v>
      </x:c>
      <x:c r="R246" s="24" t="str">
        <x:f>IF(AND(H246="是",E246="是",N246&gt;0),"是","否")</x:f>
        <x:v>否</x:v>
      </x:c>
      <x:c r="S246" s="24" t="str">
        <x:f>IF(H246="否","非本次棧板儲位分析對象",IF(R246="是","旺季前需前移並增加棧板位",IF(N246&gt;0,"需增加棧板位",IF(N246&lt;0,"可釋放部分棧板位","維持現況"))))</x:f>
        <x:v>維持現況</x:v>
      </x:c>
    </x:row>
    <x:row r="247">
      <x:c r="A247" s="24" t="str">
        <x:f>'500件商品'!A247</x:f>
        <x:v>PX0243</x:v>
      </x:c>
      <x:c r="B247" s="24" t="str">
        <x:f>'500件商品'!B247</x:f>
        <x:v>標籤紙卷-家庭號</x:v>
      </x:c>
      <x:c r="C247" s="24" t="str">
        <x:f>'500件商品'!D247</x:f>
        <x:v>Cluster 5</x:v>
      </x:c>
      <x:c r="D247" s="26" t="n">
        <x:f>'500件商品'!F247</x:f>
        <x:v>65</x:v>
      </x:c>
      <x:c r="E247" s="24" t="str">
        <x:f>'500件商品'!K247</x:f>
        <x:v>否</x:v>
      </x:c>
      <x:c r="F247" s="24" t="str">
        <x:f>'500件商品'!L247</x:f>
      </x:c>
      <x:c r="G247" s="28" t="n">
        <x:f>'500件商品'!M247</x:f>
        <x:v>1</x:v>
      </x:c>
      <x:c r="H247" s="24" t="str">
        <x:f>'500件商品'!P247</x:f>
        <x:v>是</x:v>
      </x:c>
      <x:c r="I247" s="26" t="n">
        <x:f>'500件商品'!N247</x:f>
        <x:v>382</x:v>
      </x:c>
      <x:c r="J247" s="26" t="n">
        <x:f>'500件商品'!O247</x:f>
        <x:v>48</x:v>
      </x:c>
      <x:c r="K247" s="26" t="n">
        <x:f>IF(H247="是",CEILING(I247/J247,1),0)</x:f>
        <x:v>8</x:v>
      </x:c>
      <x:c r="L247" s="26" t="n">
        <x:f>ROUND(I247*G247,0)</x:f>
        <x:v>382</x:v>
      </x:c>
      <x:c r="M247" s="26" t="n">
        <x:f>IF(H247="是",CEILING(L247/J247,1),0)</x:f>
        <x:v>8</x:v>
      </x:c>
      <x:c r="N247" s="26" t="n">
        <x:f>M247-K247</x:f>
        <x:v>0</x:v>
      </x:c>
      <x:c r="O247" s="24" t="str">
        <x:f>'500件商品'!Q247</x:f>
        <x:v>A區</x:v>
      </x:c>
      <x:c r="P247" s="26" t="n">
        <x:f>'500件商品'!R247</x:f>
        <x:v>25</x:v>
      </x:c>
      <x:c r="Q247" s="24" t="str">
        <x:f>IF(H247="否","非棧板管理",IF(AND(E247="是",N247&gt;0),"季節彈性前移區",IF(OR(C247="Cluster 3",D247&gt;=55),"近端低層棧板區",IF(C247="Cluster 2","中段大貨位",IF(C247="Cluster 4","遠端彈性儲位","中段棧板區")))))</x:f>
        <x:v>近端低層棧板區</x:v>
      </x:c>
      <x:c r="R247" s="24" t="str">
        <x:f>IF(AND(H247="是",E247="是",N247&gt;0),"是","否")</x:f>
        <x:v>否</x:v>
      </x:c>
      <x:c r="S247" s="24" t="str">
        <x:f>IF(H247="否","非本次棧板儲位分析對象",IF(R247="是","旺季前需前移並增加棧板位",IF(N247&gt;0,"需增加棧板位",IF(N247&lt;0,"可釋放部分棧板位","維持現況"))))</x:f>
        <x:v>維持現況</x:v>
      </x:c>
    </x:row>
    <x:row r="248">
      <x:c r="A248" s="24" t="str">
        <x:f>'500件商品'!A248</x:f>
        <x:v>PX0244</x:v>
      </x:c>
      <x:c r="B248" s="24" t="str">
        <x:f>'500件商品'!B248</x:f>
        <x:v>寵物罐頭箱-促銷組</x:v>
      </x:c>
      <x:c r="C248" s="24" t="str">
        <x:f>'500件商品'!D248</x:f>
        <x:v>Cluster 5</x:v>
      </x:c>
      <x:c r="D248" s="26" t="n">
        <x:f>'500件商品'!F248</x:f>
        <x:v>63</x:v>
      </x:c>
      <x:c r="E248" s="24" t="str">
        <x:f>'500件商品'!K248</x:f>
        <x:v>否</x:v>
      </x:c>
      <x:c r="F248" s="24" t="str">
        <x:f>'500件商品'!L248</x:f>
      </x:c>
      <x:c r="G248" s="28" t="n">
        <x:f>'500件商品'!M248</x:f>
        <x:v>1</x:v>
      </x:c>
      <x:c r="H248" s="24" t="str">
        <x:f>'500件商品'!P248</x:f>
        <x:v>是</x:v>
      </x:c>
      <x:c r="I248" s="26" t="n">
        <x:f>'500件商品'!N248</x:f>
        <x:v>215</x:v>
      </x:c>
      <x:c r="J248" s="26" t="n">
        <x:f>'500件商品'!O248</x:f>
        <x:v>60</x:v>
      </x:c>
      <x:c r="K248" s="26" t="n">
        <x:f>IF(H248="是",CEILING(I248/J248,1),0)</x:f>
        <x:v>4</x:v>
      </x:c>
      <x:c r="L248" s="26" t="n">
        <x:f>ROUND(I248*G248,0)</x:f>
        <x:v>215</x:v>
      </x:c>
      <x:c r="M248" s="26" t="n">
        <x:f>IF(H248="是",CEILING(L248/J248,1),0)</x:f>
        <x:v>4</x:v>
      </x:c>
      <x:c r="N248" s="26" t="n">
        <x:f>M248-K248</x:f>
        <x:v>0</x:v>
      </x:c>
      <x:c r="O248" s="24" t="str">
        <x:f>'500件商品'!Q248</x:f>
        <x:v>1區</x:v>
      </x:c>
      <x:c r="P248" s="26" t="n">
        <x:f>'500件商品'!R248</x:f>
        <x:v>25</x:v>
      </x:c>
      <x:c r="Q248" s="24" t="str">
        <x:f>IF(H248="否","非棧板管理",IF(AND(E248="是",N248&gt;0),"季節彈性前移區",IF(OR(C248="Cluster 3",D248&gt;=55),"近端低層棧板區",IF(C248="Cluster 2","中段大貨位",IF(C248="Cluster 4","遠端彈性儲位","中段棧板區")))))</x:f>
        <x:v>近端低層棧板區</x:v>
      </x:c>
      <x:c r="R248" s="24" t="str">
        <x:f>IF(AND(H248="是",E248="是",N248&gt;0),"是","否")</x:f>
        <x:v>否</x:v>
      </x:c>
      <x:c r="S248" s="24" t="str">
        <x:f>IF(H248="否","非本次棧板儲位分析對象",IF(R248="是","旺季前需前移並增加棧板位",IF(N248&gt;0,"需增加棧板位",IF(N248&lt;0,"可釋放部分棧板位","維持現況"))))</x:f>
        <x:v>維持現況</x:v>
      </x:c>
    </x:row>
    <x:row r="249">
      <x:c r="A249" s="24" t="str">
        <x:f>'500件商品'!A249</x:f>
        <x:v>PX0245</x:v>
      </x:c>
      <x:c r="B249" s="24" t="str">
        <x:f>'500件商品'!B249</x:f>
        <x:v>雨衣組-箱裝</x:v>
      </x:c>
      <x:c r="C249" s="24" t="str">
        <x:f>'500件商品'!D249</x:f>
        <x:v>Cluster 4</x:v>
      </x:c>
      <x:c r="D249" s="26" t="n">
        <x:f>'500件商品'!F249</x:f>
        <x:v>21</x:v>
      </x:c>
      <x:c r="E249" s="24" t="str">
        <x:f>'500件商品'!K249</x:f>
        <x:v>是</x:v>
      </x:c>
      <x:c r="F249" s="24" t="str">
        <x:f>'500件商品'!L249</x:f>
        <x:v>5-8月</x:v>
      </x:c>
      <x:c r="G249" s="28" t="n">
        <x:f>'500件商品'!M249</x:f>
        <x:v>1.8</x:v>
      </x:c>
      <x:c r="H249" s="24" t="str">
        <x:f>'500件商品'!P249</x:f>
        <x:v>否</x:v>
      </x:c>
      <x:c r="I249" s="26" t="n">
        <x:f>'500件商品'!N249</x:f>
        <x:v>88</x:v>
      </x:c>
      <x:c r="J249" s="26" t="str">
        <x:f>'500件商品'!O249</x:f>
      </x:c>
      <x:c r="K249" s="26" t="n">
        <x:f>IF(H249="是",CEILING(I249/J249,1),0)</x:f>
        <x:v>0</x:v>
      </x:c>
      <x:c r="L249" s="26" t="n">
        <x:f>ROUND(I249*G249,0)</x:f>
        <x:v>158</x:v>
      </x:c>
      <x:c r="M249" s="26" t="n">
        <x:f>IF(H249="是",CEILING(L249/J249,1),0)</x:f>
        <x:v>0</x:v>
      </x:c>
      <x:c r="N249" s="26" t="n">
        <x:f>M249-K249</x:f>
        <x:v>0</x:v>
      </x:c>
      <x:c r="O249" s="24" t="str">
        <x:f>'500件商品'!Q249</x:f>
        <x:v>遠端區</x:v>
      </x:c>
      <x:c r="P249" s="26" t="n">
        <x:f>'500件商品'!R249</x:f>
        <x:v>70</x:v>
      </x:c>
      <x:c r="Q249" s="24" t="str">
        <x:f>IF(H249="否","非棧板管理",IF(AND(E249="是",N249&gt;0),"季節彈性前移區",IF(OR(C249="Cluster 3",D249&gt;=55),"近端低層棧板區",IF(C249="Cluster 2","中段大貨位",IF(C249="Cluster 4","遠端彈性儲位","中段棧板區")))))</x:f>
        <x:v>非棧板管理</x:v>
      </x:c>
      <x:c r="R249" s="24" t="str">
        <x:f>IF(AND(H249="是",E249="是",N249&gt;0),"是","否")</x:f>
        <x:v>否</x:v>
      </x:c>
      <x:c r="S249" s="24" t="str">
        <x:f>IF(H249="否","非本次棧板儲位分析對象",IF(R249="是","旺季前需前移並增加棧板位",IF(N249&gt;0,"需增加棧板位",IF(N249&lt;0,"可釋放部分棧板位","維持現況"))))</x:f>
        <x:v>非本次棧板儲位分析對象</x:v>
      </x:c>
    </x:row>
    <x:row r="250">
      <x:c r="A250" s="24" t="str">
        <x:f>'500件商品'!A250</x:f>
        <x:v>PX0246</x:v>
      </x:c>
      <x:c r="B250" s="24" t="str">
        <x:f>'500件商品'!B250</x:f>
        <x:v>包裝膠帶-家庭號</x:v>
      </x:c>
      <x:c r="C250" s="24" t="str">
        <x:f>'500件商品'!D250</x:f>
        <x:v>Cluster 1</x:v>
      </x:c>
      <x:c r="D250" s="26" t="n">
        <x:f>'500件商品'!F250</x:f>
        <x:v>20</x:v>
      </x:c>
      <x:c r="E250" s="24" t="str">
        <x:f>'500件商品'!K250</x:f>
        <x:v>否</x:v>
      </x:c>
      <x:c r="F250" s="24" t="str">
        <x:f>'500件商品'!L250</x:f>
      </x:c>
      <x:c r="G250" s="28" t="n">
        <x:f>'500件商品'!M250</x:f>
        <x:v>1.1</x:v>
      </x:c>
      <x:c r="H250" s="24" t="str">
        <x:f>'500件商品'!P250</x:f>
        <x:v>否</x:v>
      </x:c>
      <x:c r="I250" s="26" t="n">
        <x:f>'500件商品'!N250</x:f>
        <x:v>146</x:v>
      </x:c>
      <x:c r="J250" s="26" t="str">
        <x:f>'500件商品'!O250</x:f>
      </x:c>
      <x:c r="K250" s="26" t="n">
        <x:f>IF(H250="是",CEILING(I250/J250,1),0)</x:f>
        <x:v>0</x:v>
      </x:c>
      <x:c r="L250" s="26" t="n">
        <x:f>ROUND(I250*G250,0)</x:f>
        <x:v>161</x:v>
      </x:c>
      <x:c r="M250" s="26" t="n">
        <x:f>IF(H250="是",CEILING(L250/J250,1),0)</x:f>
        <x:v>0</x:v>
      </x:c>
      <x:c r="N250" s="26" t="n">
        <x:f>M250-K250</x:f>
        <x:v>0</x:v>
      </x:c>
      <x:c r="O250" s="24" t="str">
        <x:f>'500件商品'!Q250</x:f>
        <x:v>3區</x:v>
      </x:c>
      <x:c r="P250" s="26" t="n">
        <x:f>'500件商品'!R250</x:f>
        <x:v>44</x:v>
      </x:c>
      <x:c r="Q250" s="24" t="str">
        <x:f>IF(H250="否","非棧板管理",IF(AND(E250="是",N250&gt;0),"季節彈性前移區",IF(OR(C250="Cluster 3",D250&gt;=55),"近端低層棧板區",IF(C250="Cluster 2","中段大貨位",IF(C250="Cluster 4","遠端彈性儲位","中段棧板區")))))</x:f>
        <x:v>非棧板管理</x:v>
      </x:c>
      <x:c r="R250" s="24" t="str">
        <x:f>IF(AND(H250="是",E250="是",N250&gt;0),"是","否")</x:f>
        <x:v>否</x:v>
      </x:c>
      <x:c r="S250" s="24" t="str">
        <x:f>IF(H250="否","非本次棧板儲位分析對象",IF(R250="是","旺季前需前移並增加棧板位",IF(N250&gt;0,"需增加棧板位",IF(N250&lt;0,"可釋放部分棧板位","維持現況"))))</x:f>
        <x:v>非本次棧板儲位分析對象</x:v>
      </x:c>
    </x:row>
    <x:row r="251">
      <x:c r="A251" s="24" t="str">
        <x:f>'500件商品'!A251</x:f>
        <x:v>PX0247</x:v>
      </x:c>
      <x:c r="B251" s="24" t="str">
        <x:f>'500件商品'!B251</x:f>
        <x:v>寵物飼料5kg-箱裝</x:v>
      </x:c>
      <x:c r="C251" s="24" t="str">
        <x:f>'500件商品'!D251</x:f>
        <x:v>Cluster 2</x:v>
      </x:c>
      <x:c r="D251" s="26" t="n">
        <x:f>'500件商品'!F251</x:f>
        <x:v>31</x:v>
      </x:c>
      <x:c r="E251" s="24" t="str">
        <x:f>'500件商品'!K251</x:f>
        <x:v>否</x:v>
      </x:c>
      <x:c r="F251" s="24" t="str">
        <x:f>'500件商品'!L251</x:f>
      </x:c>
      <x:c r="G251" s="28" t="n">
        <x:f>'500件商品'!M251</x:f>
        <x:v>1.1</x:v>
      </x:c>
      <x:c r="H251" s="24" t="str">
        <x:f>'500件商品'!P251</x:f>
        <x:v>是</x:v>
      </x:c>
      <x:c r="I251" s="26" t="n">
        <x:f>'500件商品'!N251</x:f>
        <x:v>176</x:v>
      </x:c>
      <x:c r="J251" s="26" t="n">
        <x:f>'500件商品'!O251</x:f>
        <x:v>18</x:v>
      </x:c>
      <x:c r="K251" s="26" t="n">
        <x:f>IF(H251="是",CEILING(I251/J251,1),0)</x:f>
        <x:v>10</x:v>
      </x:c>
      <x:c r="L251" s="26" t="n">
        <x:f>ROUND(I251*G251,0)</x:f>
        <x:v>194</x:v>
      </x:c>
      <x:c r="M251" s="26" t="n">
        <x:f>IF(H251="是",CEILING(L251/J251,1),0)</x:f>
        <x:v>11</x:v>
      </x:c>
      <x:c r="N251" s="26" t="n">
        <x:f>M251-K251</x:f>
        <x:v>1</x:v>
      </x:c>
      <x:c r="O251" s="24" t="str">
        <x:f>'500件商品'!Q251</x:f>
        <x:v>A區</x:v>
      </x:c>
      <x:c r="P251" s="26" t="n">
        <x:f>'500件商品'!R251</x:f>
        <x:v>32</x:v>
      </x:c>
      <x:c r="Q251" s="24" t="str">
        <x:f>IF(H251="否","非棧板管理",IF(AND(E251="是",N251&gt;0),"季節彈性前移區",IF(OR(C251="Cluster 3",D251&gt;=55),"近端低層棧板區",IF(C251="Cluster 2","中段大貨位",IF(C251="Cluster 4","遠端彈性儲位","中段棧板區")))))</x:f>
        <x:v>中段大貨位</x:v>
      </x:c>
      <x:c r="R251" s="24" t="str">
        <x:f>IF(AND(H251="是",E251="是",N251&gt;0),"是","否")</x:f>
        <x:v>否</x:v>
      </x:c>
      <x:c r="S251" s="24" t="str">
        <x:f>IF(H251="否","非本次棧板儲位分析對象",IF(R251="是","旺季前需前移並增加棧板位",IF(N251&gt;0,"需增加棧板位",IF(N251&lt;0,"可釋放部分棧板位","維持現況"))))</x:f>
        <x:v>需增加棧板位</x:v>
      </x:c>
    </x:row>
    <x:row r="252">
      <x:c r="A252" s="24" t="str">
        <x:f>'500件商品'!A252</x:f>
        <x:v>PX0248</x:v>
      </x:c>
      <x:c r="B252" s="24" t="str">
        <x:f>'500件商品'!B252</x:f>
        <x:v>漂白水-標準箱</x:v>
      </x:c>
      <x:c r="C252" s="24" t="str">
        <x:f>'500件商品'!D252</x:f>
        <x:v>Cluster 2</x:v>
      </x:c>
      <x:c r="D252" s="26" t="n">
        <x:f>'500件商品'!F252</x:f>
        <x:v>43</x:v>
      </x:c>
      <x:c r="E252" s="24" t="str">
        <x:f>'500件商品'!K252</x:f>
        <x:v>否</x:v>
      </x:c>
      <x:c r="F252" s="24" t="str">
        <x:f>'500件商品'!L252</x:f>
      </x:c>
      <x:c r="G252" s="28" t="n">
        <x:f>'500件商品'!M252</x:f>
        <x:v>1.2</x:v>
      </x:c>
      <x:c r="H252" s="24" t="str">
        <x:f>'500件商品'!P252</x:f>
        <x:v>是</x:v>
      </x:c>
      <x:c r="I252" s="26" t="n">
        <x:f>'500件商品'!N252</x:f>
        <x:v>279</x:v>
      </x:c>
      <x:c r="J252" s="26" t="n">
        <x:f>'500件商品'!O252</x:f>
        <x:v>32</x:v>
      </x:c>
      <x:c r="K252" s="26" t="n">
        <x:f>IF(H252="是",CEILING(I252/J252,1),0)</x:f>
        <x:v>9</x:v>
      </x:c>
      <x:c r="L252" s="26" t="n">
        <x:f>ROUND(I252*G252,0)</x:f>
        <x:v>335</x:v>
      </x:c>
      <x:c r="M252" s="26" t="n">
        <x:f>IF(H252="是",CEILING(L252/J252,1),0)</x:f>
        <x:v>11</x:v>
      </x:c>
      <x:c r="N252" s="26" t="n">
        <x:f>M252-K252</x:f>
        <x:v>2</x:v>
      </x:c>
      <x:c r="O252" s="24" t="str">
        <x:f>'500件商品'!Q252</x:f>
        <x:v>A區</x:v>
      </x:c>
      <x:c r="P252" s="26" t="n">
        <x:f>'500件商品'!R252</x:f>
        <x:v>25</x:v>
      </x:c>
      <x:c r="Q252" s="24" t="str">
        <x:f>IF(H252="否","非棧板管理",IF(AND(E252="是",N252&gt;0),"季節彈性前移區",IF(OR(C252="Cluster 3",D252&gt;=55),"近端低層棧板區",IF(C252="Cluster 2","中段大貨位",IF(C252="Cluster 4","遠端彈性儲位","中段棧板區")))))</x:f>
        <x:v>中段大貨位</x:v>
      </x:c>
      <x:c r="R252" s="24" t="str">
        <x:f>IF(AND(H252="是",E252="是",N252&gt;0),"是","否")</x:f>
        <x:v>否</x:v>
      </x:c>
      <x:c r="S252" s="24" t="str">
        <x:f>IF(H252="否","非本次棧板儲位分析對象",IF(R252="是","旺季前需前移並增加棧板位",IF(N252&gt;0,"需增加棧板位",IF(N252&lt;0,"可釋放部分棧板位","維持現況"))))</x:f>
        <x:v>需增加棧板位</x:v>
      </x:c>
    </x:row>
    <x:row r="253">
      <x:c r="A253" s="24" t="str">
        <x:f>'500件商品'!A253</x:f>
        <x:v>PX0249</x:v>
      </x:c>
      <x:c r="B253" s="24" t="str">
        <x:f>'500件商品'!B253</x:f>
        <x:v>收納箱-箱裝</x:v>
      </x:c>
      <x:c r="C253" s="24" t="str">
        <x:f>'500件商品'!D253</x:f>
        <x:v>Cluster 2</x:v>
      </x:c>
      <x:c r="D253" s="26" t="n">
        <x:f>'500件商品'!F253</x:f>
        <x:v>79</x:v>
      </x:c>
      <x:c r="E253" s="24" t="str">
        <x:f>'500件商品'!K253</x:f>
        <x:v>否</x:v>
      </x:c>
      <x:c r="F253" s="24" t="str">
        <x:f>'500件商品'!L253</x:f>
      </x:c>
      <x:c r="G253" s="28" t="n">
        <x:f>'500件商品'!M253</x:f>
        <x:v>1</x:v>
      </x:c>
      <x:c r="H253" s="24" t="str">
        <x:f>'500件商品'!P253</x:f>
        <x:v>是</x:v>
      </x:c>
      <x:c r="I253" s="26" t="n">
        <x:f>'500件商品'!N253</x:f>
        <x:v>471</x:v>
      </x:c>
      <x:c r="J253" s="26" t="n">
        <x:f>'500件商品'!O253</x:f>
        <x:v>18</x:v>
      </x:c>
      <x:c r="K253" s="26" t="n">
        <x:f>IF(H253="是",CEILING(I253/J253,1),0)</x:f>
        <x:v>27</x:v>
      </x:c>
      <x:c r="L253" s="26" t="n">
        <x:f>ROUND(I253*G253,0)</x:f>
        <x:v>471</x:v>
      </x:c>
      <x:c r="M253" s="26" t="n">
        <x:f>IF(H253="是",CEILING(L253/J253,1),0)</x:f>
        <x:v>27</x:v>
      </x:c>
      <x:c r="N253" s="26" t="n">
        <x:f>M253-K253</x:f>
        <x:v>0</x:v>
      </x:c>
      <x:c r="O253" s="24" t="str">
        <x:f>'500件商品'!Q253</x:f>
        <x:v>3區</x:v>
      </x:c>
      <x:c r="P253" s="26" t="n">
        <x:f>'500件商品'!R253</x:f>
        <x:v>35</x:v>
      </x:c>
      <x:c r="Q253" s="24" t="str">
        <x:f>IF(H253="否","非棧板管理",IF(AND(E253="是",N253&gt;0),"季節彈性前移區",IF(OR(C253="Cluster 3",D253&gt;=55),"近端低層棧板區",IF(C253="Cluster 2","中段大貨位",IF(C253="Cluster 4","遠端彈性儲位","中段棧板區")))))</x:f>
        <x:v>近端低層棧板區</x:v>
      </x:c>
      <x:c r="R253" s="24" t="str">
        <x:f>IF(AND(H253="是",E253="是",N253&gt;0),"是","否")</x:f>
        <x:v>否</x:v>
      </x:c>
      <x:c r="S253" s="24" t="str">
        <x:f>IF(H253="否","非本次棧板儲位分析對象",IF(R253="是","旺季前需前移並增加棧板位",IF(N253&gt;0,"需增加棧板位",IF(N253&lt;0,"可釋放部分棧板位","維持現況"))))</x:f>
        <x:v>維持現況</x:v>
      </x:c>
    </x:row>
    <x:row r="254">
      <x:c r="A254" s="24" t="str">
        <x:f>'500件商品'!A254</x:f>
        <x:v>PX0250</x:v>
      </x:c>
      <x:c r="B254" s="24" t="str">
        <x:f>'500件商品'!B254</x:f>
        <x:v>口罩盒-小包裝</x:v>
      </x:c>
      <x:c r="C254" s="24" t="str">
        <x:f>'500件商品'!D254</x:f>
        <x:v>Cluster 5</x:v>
      </x:c>
      <x:c r="D254" s="26" t="n">
        <x:f>'500件商品'!F254</x:f>
        <x:v>8</x:v>
      </x:c>
      <x:c r="E254" s="24" t="str">
        <x:f>'500件商品'!K254</x:f>
        <x:v>否</x:v>
      </x:c>
      <x:c r="F254" s="24" t="str">
        <x:f>'500件商品'!L254</x:f>
      </x:c>
      <x:c r="G254" s="28" t="n">
        <x:f>'500件商品'!M254</x:f>
        <x:v>1</x:v>
      </x:c>
      <x:c r="H254" s="24" t="str">
        <x:f>'500件商品'!P254</x:f>
        <x:v>否</x:v>
      </x:c>
      <x:c r="I254" s="26" t="n">
        <x:f>'500件商品'!N254</x:f>
        <x:v>56</x:v>
      </x:c>
      <x:c r="J254" s="26" t="str">
        <x:f>'500件商品'!O254</x:f>
      </x:c>
      <x:c r="K254" s="26" t="n">
        <x:f>IF(H254="是",CEILING(I254/J254,1),0)</x:f>
        <x:v>0</x:v>
      </x:c>
      <x:c r="L254" s="26" t="n">
        <x:f>ROUND(I254*G254,0)</x:f>
        <x:v>56</x:v>
      </x:c>
      <x:c r="M254" s="26" t="n">
        <x:f>IF(H254="是",CEILING(L254/J254,1),0)</x:f>
        <x:v>0</x:v>
      </x:c>
      <x:c r="N254" s="26" t="n">
        <x:f>M254-K254</x:f>
        <x:v>0</x:v>
      </x:c>
      <x:c r="O254" s="24" t="str">
        <x:f>'500件商品'!Q254</x:f>
        <x:v>彈性區</x:v>
      </x:c>
      <x:c r="P254" s="26" t="n">
        <x:f>'500件商品'!R254</x:f>
        <x:v>55</x:v>
      </x:c>
      <x:c r="Q254" s="24" t="str">
        <x:f>IF(H254="否","非棧板管理",IF(AND(E254="是",N254&gt;0),"季節彈性前移區",IF(OR(C254="Cluster 3",D254&gt;=55),"近端低層棧板區",IF(C254="Cluster 2","中段大貨位",IF(C254="Cluster 4","遠端彈性儲位","中段棧板區")))))</x:f>
        <x:v>非棧板管理</x:v>
      </x:c>
      <x:c r="R254" s="24" t="str">
        <x:f>IF(AND(H254="是",E254="是",N254&gt;0),"是","否")</x:f>
        <x:v>否</x:v>
      </x:c>
      <x:c r="S254" s="24" t="str">
        <x:f>IF(H254="否","非本次棧板儲位分析對象",IF(R254="是","旺季前需前移並增加棧板位",IF(N254&gt;0,"需增加棧板位",IF(N254&lt;0,"可釋放部分棧板位","維持現況"))))</x:f>
        <x:v>非本次棧板儲位分析對象</x:v>
      </x:c>
    </x:row>
    <x:row r="255">
      <x:c r="A255" s="24" t="str">
        <x:f>'500件商品'!A255</x:f>
        <x:v>PX0251</x:v>
      </x:c>
      <x:c r="B255" s="24" t="str">
        <x:f>'500件商品'!B255</x:f>
        <x:v>柔軟精-小包裝</x:v>
      </x:c>
      <x:c r="C255" s="24" t="str">
        <x:f>'500件商品'!D255</x:f>
        <x:v>Cluster 1</x:v>
      </x:c>
      <x:c r="D255" s="26" t="n">
        <x:f>'500件商品'!F255</x:f>
        <x:v>31</x:v>
      </x:c>
      <x:c r="E255" s="24" t="str">
        <x:f>'500件商品'!K255</x:f>
        <x:v>否</x:v>
      </x:c>
      <x:c r="F255" s="24" t="str">
        <x:f>'500件商品'!L255</x:f>
      </x:c>
      <x:c r="G255" s="28" t="n">
        <x:f>'500件商品'!M255</x:f>
        <x:v>1</x:v>
      </x:c>
      <x:c r="H255" s="24" t="str">
        <x:f>'500件商品'!P255</x:f>
        <x:v>是</x:v>
      </x:c>
      <x:c r="I255" s="26" t="n">
        <x:f>'500件商品'!N255</x:f>
        <x:v>255</x:v>
      </x:c>
      <x:c r="J255" s="26" t="n">
        <x:f>'500件商品'!O255</x:f>
        <x:v>60</x:v>
      </x:c>
      <x:c r="K255" s="26" t="n">
        <x:f>IF(H255="是",CEILING(I255/J255,1),0)</x:f>
        <x:v>5</x:v>
      </x:c>
      <x:c r="L255" s="26" t="n">
        <x:f>ROUND(I255*G255,0)</x:f>
        <x:v>255</x:v>
      </x:c>
      <x:c r="M255" s="26" t="n">
        <x:f>IF(H255="是",CEILING(L255/J255,1),0)</x:f>
        <x:v>5</x:v>
      </x:c>
      <x:c r="N255" s="26" t="n">
        <x:f>M255-K255</x:f>
        <x:v>0</x:v>
      </x:c>
      <x:c r="O255" s="24" t="str">
        <x:f>'500件商品'!Q255</x:f>
        <x:v>彈性區</x:v>
      </x:c>
      <x:c r="P255" s="26" t="n">
        <x:f>'500件商品'!R255</x:f>
        <x:v>59</x:v>
      </x:c>
      <x:c r="Q255" s="24" t="str">
        <x:f>IF(H255="否","非棧板管理",IF(AND(E255="是",N255&gt;0),"季節彈性前移區",IF(OR(C255="Cluster 3",D255&gt;=55),"近端低層棧板區",IF(C255="Cluster 2","中段大貨位",IF(C255="Cluster 4","遠端彈性儲位","中段棧板區")))))</x:f>
        <x:v>中段棧板區</x:v>
      </x:c>
      <x:c r="R255" s="24" t="str">
        <x:f>IF(AND(H255="是",E255="是",N255&gt;0),"是","否")</x:f>
        <x:v>否</x:v>
      </x:c>
      <x:c r="S255" s="24" t="str">
        <x:f>IF(H255="否","非本次棧板儲位分析對象",IF(R255="是","旺季前需前移並增加棧板位",IF(N255&gt;0,"需增加棧板位",IF(N255&lt;0,"可釋放部分棧板位","維持現況"))))</x:f>
        <x:v>維持現況</x:v>
      </x:c>
    </x:row>
    <x:row r="256">
      <x:c r="A256" s="24" t="str">
        <x:f>'500件商品'!A256</x:f>
        <x:v>PX0252</x:v>
      </x:c>
      <x:c r="B256" s="24" t="str">
        <x:f>'500件商品'!B256</x:f>
        <x:v>手套耗材-箱裝</x:v>
      </x:c>
      <x:c r="C256" s="24" t="str">
        <x:f>'500件商品'!D256</x:f>
        <x:v>Cluster 4</x:v>
      </x:c>
      <x:c r="D256" s="26" t="n">
        <x:f>'500件商品'!F256</x:f>
        <x:v>24</x:v>
      </x:c>
      <x:c r="E256" s="24" t="str">
        <x:f>'500件商品'!K256</x:f>
        <x:v>是</x:v>
      </x:c>
      <x:c r="F256" s="24" t="str">
        <x:f>'500件商品'!L256</x:f>
        <x:v>旺季</x:v>
      </x:c>
      <x:c r="G256" s="28" t="n">
        <x:f>'500件商品'!M256</x:f>
        <x:v>2</x:v>
      </x:c>
      <x:c r="H256" s="24" t="str">
        <x:f>'500件商品'!P256</x:f>
        <x:v>否</x:v>
      </x:c>
      <x:c r="I256" s="26" t="n">
        <x:f>'500件商品'!N256</x:f>
        <x:v>86</x:v>
      </x:c>
      <x:c r="J256" s="26" t="str">
        <x:f>'500件商品'!O256</x:f>
      </x:c>
      <x:c r="K256" s="26" t="n">
        <x:f>IF(H256="是",CEILING(I256/J256,1),0)</x:f>
        <x:v>0</x:v>
      </x:c>
      <x:c r="L256" s="26" t="n">
        <x:f>ROUND(I256*G256,0)</x:f>
        <x:v>172</x:v>
      </x:c>
      <x:c r="M256" s="26" t="n">
        <x:f>IF(H256="是",CEILING(L256/J256,1),0)</x:f>
        <x:v>0</x:v>
      </x:c>
      <x:c r="N256" s="26" t="n">
        <x:f>M256-K256</x:f>
        <x:v>0</x:v>
      </x:c>
      <x:c r="O256" s="24" t="str">
        <x:f>'500件商品'!Q256</x:f>
        <x:v>彈性區</x:v>
      </x:c>
      <x:c r="P256" s="26" t="n">
        <x:f>'500件商品'!R256</x:f>
        <x:v>58</x:v>
      </x:c>
      <x:c r="Q256" s="24" t="str">
        <x:f>IF(H256="否","非棧板管理",IF(AND(E256="是",N256&gt;0),"季節彈性前移區",IF(OR(C256="Cluster 3",D256&gt;=55),"近端低層棧板區",IF(C256="Cluster 2","中段大貨位",IF(C256="Cluster 4","遠端彈性儲位","中段棧板區")))))</x:f>
        <x:v>非棧板管理</x:v>
      </x:c>
      <x:c r="R256" s="24" t="str">
        <x:f>IF(AND(H256="是",E256="是",N256&gt;0),"是","否")</x:f>
        <x:v>否</x:v>
      </x:c>
      <x:c r="S256" s="24" t="str">
        <x:f>IF(H256="否","非本次棧板儲位分析對象",IF(R256="是","旺季前需前移並增加棧板位",IF(N256&gt;0,"需增加棧板位",IF(N256&lt;0,"可釋放部分棧板位","維持現況"))))</x:f>
        <x:v>非本次棧板儲位分析對象</x:v>
      </x:c>
    </x:row>
    <x:row r="257">
      <x:c r="A257" s="24" t="str">
        <x:f>'500件商品'!A257</x:f>
        <x:v>PX0253</x:v>
      </x:c>
      <x:c r="B257" s="24" t="str">
        <x:f>'500件商品'!B257</x:f>
        <x:v>洗衣粉箱-補充包</x:v>
      </x:c>
      <x:c r="C257" s="24" t="str">
        <x:f>'500件商品'!D257</x:f>
        <x:v>Cluster 1</x:v>
      </x:c>
      <x:c r="D257" s="26" t="n">
        <x:f>'500件商品'!F257</x:f>
        <x:v>13</x:v>
      </x:c>
      <x:c r="E257" s="24" t="str">
        <x:f>'500件商品'!K257</x:f>
        <x:v>否</x:v>
      </x:c>
      <x:c r="F257" s="24" t="str">
        <x:f>'500件商品'!L257</x:f>
      </x:c>
      <x:c r="G257" s="28" t="n">
        <x:f>'500件商品'!M257</x:f>
        <x:v>1.1</x:v>
      </x:c>
      <x:c r="H257" s="24" t="str">
        <x:f>'500件商品'!P257</x:f>
        <x:v>是</x:v>
      </x:c>
      <x:c r="I257" s="26" t="n">
        <x:f>'500件商品'!N257</x:f>
        <x:v>83</x:v>
      </x:c>
      <x:c r="J257" s="26" t="n">
        <x:f>'500件商品'!O257</x:f>
        <x:v>72</x:v>
      </x:c>
      <x:c r="K257" s="26" t="n">
        <x:f>IF(H257="是",CEILING(I257/J257,1),0)</x:f>
        <x:v>2</x:v>
      </x:c>
      <x:c r="L257" s="26" t="n">
        <x:f>ROUND(I257*G257,0)</x:f>
        <x:v>91</x:v>
      </x:c>
      <x:c r="M257" s="26" t="n">
        <x:f>IF(H257="是",CEILING(L257/J257,1),0)</x:f>
        <x:v>2</x:v>
      </x:c>
      <x:c r="N257" s="26" t="n">
        <x:f>M257-K257</x:f>
        <x:v>0</x:v>
      </x:c>
      <x:c r="O257" s="24" t="str">
        <x:f>'500件商品'!Q257</x:f>
        <x:v>K區</x:v>
      </x:c>
      <x:c r="P257" s="26" t="n">
        <x:f>'500件商品'!R257</x:f>
        <x:v>39</x:v>
      </x:c>
      <x:c r="Q257" s="24" t="str">
        <x:f>IF(H257="否","非棧板管理",IF(AND(E257="是",N257&gt;0),"季節彈性前移區",IF(OR(C257="Cluster 3",D257&gt;=55),"近端低層棧板區",IF(C257="Cluster 2","中段大貨位",IF(C257="Cluster 4","遠端彈性儲位","中段棧板區")))))</x:f>
        <x:v>中段棧板區</x:v>
      </x:c>
      <x:c r="R257" s="24" t="str">
        <x:f>IF(AND(H257="是",E257="是",N257&gt;0),"是","否")</x:f>
        <x:v>否</x:v>
      </x:c>
      <x:c r="S257" s="24" t="str">
        <x:f>IF(H257="否","非本次棧板儲位分析對象",IF(R257="是","旺季前需前移並增加棧板位",IF(N257&gt;0,"需增加棧板位",IF(N257&lt;0,"可釋放部分棧板位","維持現況"))))</x:f>
        <x:v>維持現況</x:v>
      </x:c>
    </x:row>
    <x:row r="258">
      <x:c r="A258" s="24" t="str">
        <x:f>'500件商品'!A258</x:f>
        <x:v>PX0254</x:v>
      </x:c>
      <x:c r="B258" s="24" t="str">
        <x:f>'500件商品'!B258</x:f>
        <x:v>備用耗材-標準箱</x:v>
      </x:c>
      <x:c r="C258" s="24" t="str">
        <x:f>'500件商品'!D258</x:f>
        <x:v>Cluster 5</x:v>
      </x:c>
      <x:c r="D258" s="26" t="n">
        <x:f>'500件商品'!F258</x:f>
        <x:v>15</x:v>
      </x:c>
      <x:c r="E258" s="24" t="str">
        <x:f>'500件商品'!K258</x:f>
        <x:v>否</x:v>
      </x:c>
      <x:c r="F258" s="24" t="str">
        <x:f>'500件商品'!L258</x:f>
      </x:c>
      <x:c r="G258" s="28" t="n">
        <x:f>'500件商品'!M258</x:f>
        <x:v>1</x:v>
      </x:c>
      <x:c r="H258" s="24" t="str">
        <x:f>'500件商品'!P258</x:f>
        <x:v>是</x:v>
      </x:c>
      <x:c r="I258" s="26" t="n">
        <x:f>'500件商品'!N258</x:f>
        <x:v>97</x:v>
      </x:c>
      <x:c r="J258" s="26" t="n">
        <x:f>'500件商品'!O258</x:f>
        <x:v>36</x:v>
      </x:c>
      <x:c r="K258" s="26" t="n">
        <x:f>IF(H258="是",CEILING(I258/J258,1),0)</x:f>
        <x:v>3</x:v>
      </x:c>
      <x:c r="L258" s="26" t="n">
        <x:f>ROUND(I258*G258,0)</x:f>
        <x:v>97</x:v>
      </x:c>
      <x:c r="M258" s="26" t="n">
        <x:f>IF(H258="是",CEILING(L258/J258,1),0)</x:f>
        <x:v>3</x:v>
      </x:c>
      <x:c r="N258" s="26" t="n">
        <x:f>M258-K258</x:f>
        <x:v>0</x:v>
      </x:c>
      <x:c r="O258" s="24" t="str">
        <x:f>'500件商品'!Q258</x:f>
        <x:v>3區</x:v>
      </x:c>
      <x:c r="P258" s="26" t="n">
        <x:f>'500件商品'!R258</x:f>
        <x:v>32</x:v>
      </x:c>
      <x:c r="Q258" s="24" t="str">
        <x:f>IF(H258="否","非棧板管理",IF(AND(E258="是",N258&gt;0),"季節彈性前移區",IF(OR(C258="Cluster 3",D258&gt;=55),"近端低層棧板區",IF(C258="Cluster 2","中段大貨位",IF(C258="Cluster 4","遠端彈性儲位","中段棧板區")))))</x:f>
        <x:v>中段棧板區</x:v>
      </x:c>
      <x:c r="R258" s="24" t="str">
        <x:f>IF(AND(H258="是",E258="是",N258&gt;0),"是","否")</x:f>
        <x:v>否</x:v>
      </x:c>
      <x:c r="S258" s="24" t="str">
        <x:f>IF(H258="否","非本次棧板儲位分析對象",IF(R258="是","旺季前需前移並增加棧板位",IF(N258&gt;0,"需增加棧板位",IF(N258&lt;0,"可釋放部分棧板位","維持現況"))))</x:f>
        <x:v>維持現況</x:v>
      </x:c>
    </x:row>
    <x:row r="259">
      <x:c r="A259" s="24" t="str">
        <x:f>'500件商品'!A259</x:f>
        <x:v>PX0255</x:v>
      </x:c>
      <x:c r="B259" s="24" t="str">
        <x:f>'500件商品'!B259</x:f>
        <x:v>茶飲料整箱-小包裝</x:v>
      </x:c>
      <x:c r="C259" s="24" t="str">
        <x:f>'500件商品'!D259</x:f>
        <x:v>Cluster 2</x:v>
      </x:c>
      <x:c r="D259" s="26" t="n">
        <x:f>'500件商品'!F259</x:f>
        <x:v>29</x:v>
      </x:c>
      <x:c r="E259" s="24" t="str">
        <x:f>'500件商品'!K259</x:f>
        <x:v>否</x:v>
      </x:c>
      <x:c r="F259" s="24" t="str">
        <x:f>'500件商品'!L259</x:f>
      </x:c>
      <x:c r="G259" s="28" t="n">
        <x:f>'500件商品'!M259</x:f>
        <x:v>1.5</x:v>
      </x:c>
      <x:c r="H259" s="24" t="str">
        <x:f>'500件商品'!P259</x:f>
        <x:v>是</x:v>
      </x:c>
      <x:c r="I259" s="26" t="n">
        <x:f>'500件商品'!N259</x:f>
        <x:v>104</x:v>
      </x:c>
      <x:c r="J259" s="26" t="n">
        <x:f>'500件商品'!O259</x:f>
        <x:v>40</x:v>
      </x:c>
      <x:c r="K259" s="26" t="n">
        <x:f>IF(H259="是",CEILING(I259/J259,1),0)</x:f>
        <x:v>3</x:v>
      </x:c>
      <x:c r="L259" s="26" t="n">
        <x:f>ROUND(I259*G259,0)</x:f>
        <x:v>156</x:v>
      </x:c>
      <x:c r="M259" s="26" t="n">
        <x:f>IF(H259="是",CEILING(L259/J259,1),0)</x:f>
        <x:v>4</x:v>
      </x:c>
      <x:c r="N259" s="26" t="n">
        <x:f>M259-K259</x:f>
        <x:v>1</x:v>
      </x:c>
      <x:c r="O259" s="24" t="str">
        <x:f>'500件商品'!Q259</x:f>
        <x:v>1區</x:v>
      </x:c>
      <x:c r="P259" s="26" t="n">
        <x:f>'500件商品'!R259</x:f>
        <x:v>40</x:v>
      </x:c>
      <x:c r="Q259" s="24" t="str">
        <x:f>IF(H259="否","非棧板管理",IF(AND(E259="是",N259&gt;0),"季節彈性前移區",IF(OR(C259="Cluster 3",D259&gt;=55),"近端低層棧板區",IF(C259="Cluster 2","中段大貨位",IF(C259="Cluster 4","遠端彈性儲位","中段棧板區")))))</x:f>
        <x:v>中段大貨位</x:v>
      </x:c>
      <x:c r="R259" s="24" t="str">
        <x:f>IF(AND(H259="是",E259="是",N259&gt;0),"是","否")</x:f>
        <x:v>否</x:v>
      </x:c>
      <x:c r="S259" s="24" t="str">
        <x:f>IF(H259="否","非本次棧板儲位分析對象",IF(R259="是","旺季前需前移並增加棧板位",IF(N259&gt;0,"需增加棧板位",IF(N259&lt;0,"可釋放部分棧板位","維持現況"))))</x:f>
        <x:v>需增加棧板位</x:v>
      </x:c>
    </x:row>
    <x:row r="260">
      <x:c r="A260" s="24" t="str">
        <x:f>'500件商品'!A260</x:f>
        <x:v>PX0256</x:v>
      </x:c>
      <x:c r="B260" s="24" t="str">
        <x:f>'500件商品'!B260</x:f>
        <x:v>洗衣粉箱-標準箱</x:v>
      </x:c>
      <x:c r="C260" s="24" t="str">
        <x:f>'500件商品'!D260</x:f>
        <x:v>Cluster 1</x:v>
      </x:c>
      <x:c r="D260" s="26" t="n">
        <x:f>'500件商品'!F260</x:f>
        <x:v>2</x:v>
      </x:c>
      <x:c r="E260" s="24" t="str">
        <x:f>'500件商品'!K260</x:f>
        <x:v>否</x:v>
      </x:c>
      <x:c r="F260" s="24" t="str">
        <x:f>'500件商品'!L260</x:f>
      </x:c>
      <x:c r="G260" s="28" t="n">
        <x:f>'500件商品'!M260</x:f>
        <x:v>1</x:v>
      </x:c>
      <x:c r="H260" s="24" t="str">
        <x:f>'500件商品'!P260</x:f>
        <x:v>是</x:v>
      </x:c>
      <x:c r="I260" s="26" t="n">
        <x:f>'500件商品'!N260</x:f>
        <x:v>26</x:v>
      </x:c>
      <x:c r="J260" s="26" t="n">
        <x:f>'500件商品'!O260</x:f>
        <x:v>80</x:v>
      </x:c>
      <x:c r="K260" s="26" t="n">
        <x:f>IF(H260="是",CEILING(I260/J260,1),0)</x:f>
        <x:v>1</x:v>
      </x:c>
      <x:c r="L260" s="26" t="n">
        <x:f>ROUND(I260*G260,0)</x:f>
        <x:v>26</x:v>
      </x:c>
      <x:c r="M260" s="26" t="n">
        <x:f>IF(H260="是",CEILING(L260/J260,1),0)</x:f>
        <x:v>1</x:v>
      </x:c>
      <x:c r="N260" s="26" t="n">
        <x:f>M260-K260</x:f>
        <x:v>0</x:v>
      </x:c>
      <x:c r="O260" s="24" t="str">
        <x:f>'500件商品'!Q260</x:f>
        <x:v>3區</x:v>
      </x:c>
      <x:c r="P260" s="26" t="n">
        <x:f>'500件商品'!R260</x:f>
        <x:v>34</x:v>
      </x:c>
      <x:c r="Q260" s="24" t="str">
        <x:f>IF(H260="否","非棧板管理",IF(AND(E260="是",N260&gt;0),"季節彈性前移區",IF(OR(C260="Cluster 3",D260&gt;=55),"近端低層棧板區",IF(C260="Cluster 2","中段大貨位",IF(C260="Cluster 4","遠端彈性儲位","中段棧板區")))))</x:f>
        <x:v>中段棧板區</x:v>
      </x:c>
      <x:c r="R260" s="24" t="str">
        <x:f>IF(AND(H260="是",E260="是",N260&gt;0),"是","否")</x:f>
        <x:v>否</x:v>
      </x:c>
      <x:c r="S260" s="24" t="str">
        <x:f>IF(H260="否","非本次棧板儲位分析對象",IF(R260="是","旺季前需前移並增加棧板位",IF(N260&gt;0,"需增加棧板位",IF(N260&lt;0,"可釋放部分棧板位","維持現況"))))</x:f>
        <x:v>維持現況</x:v>
      </x:c>
    </x:row>
    <x:row r="261">
      <x:c r="A261" s="24" t="str">
        <x:f>'500件商品'!A261</x:f>
        <x:v>PX0257</x:v>
      </x:c>
      <x:c r="B261" s="24" t="str">
        <x:f>'500件商品'!B261</x:f>
        <x:v>保鮮盒-小包裝</x:v>
      </x:c>
      <x:c r="C261" s="24" t="str">
        <x:f>'500件商品'!D261</x:f>
        <x:v>Cluster 5</x:v>
      </x:c>
      <x:c r="D261" s="26" t="n">
        <x:f>'500件商品'!F261</x:f>
        <x:v>21</x:v>
      </x:c>
      <x:c r="E261" s="24" t="str">
        <x:f>'500件商品'!K261</x:f>
        <x:v>否</x:v>
      </x:c>
      <x:c r="F261" s="24" t="str">
        <x:f>'500件商品'!L261</x:f>
      </x:c>
      <x:c r="G261" s="28" t="n">
        <x:f>'500件商品'!M261</x:f>
        <x:v>1.1</x:v>
      </x:c>
      <x:c r="H261" s="24" t="str">
        <x:f>'500件商品'!P261</x:f>
        <x:v>否</x:v>
      </x:c>
      <x:c r="I261" s="26" t="n">
        <x:f>'500件商品'!N261</x:f>
        <x:v>181</x:v>
      </x:c>
      <x:c r="J261" s="26" t="str">
        <x:f>'500件商品'!O261</x:f>
      </x:c>
      <x:c r="K261" s="26" t="n">
        <x:f>IF(H261="是",CEILING(I261/J261,1),0)</x:f>
        <x:v>0</x:v>
      </x:c>
      <x:c r="L261" s="26" t="n">
        <x:f>ROUND(I261*G261,0)</x:f>
        <x:v>199</x:v>
      </x:c>
      <x:c r="M261" s="26" t="n">
        <x:f>IF(H261="是",CEILING(L261/J261,1),0)</x:f>
        <x:v>0</x:v>
      </x:c>
      <x:c r="N261" s="26" t="n">
        <x:f>M261-K261</x:f>
        <x:v>0</x:v>
      </x:c>
      <x:c r="O261" s="24" t="str">
        <x:f>'500件商品'!Q261</x:f>
        <x:v>1區</x:v>
      </x:c>
      <x:c r="P261" s="26" t="n">
        <x:f>'500件商品'!R261</x:f>
        <x:v>41</x:v>
      </x:c>
      <x:c r="Q261" s="24" t="str">
        <x:f>IF(H261="否","非棧板管理",IF(AND(E261="是",N261&gt;0),"季節彈性前移區",IF(OR(C261="Cluster 3",D261&gt;=55),"近端低層棧板區",IF(C261="Cluster 2","中段大貨位",IF(C261="Cluster 4","遠端彈性儲位","中段棧板區")))))</x:f>
        <x:v>非棧板管理</x:v>
      </x:c>
      <x:c r="R261" s="24" t="str">
        <x:f>IF(AND(H261="是",E261="是",N261&gt;0),"是","否")</x:f>
        <x:v>否</x:v>
      </x:c>
      <x:c r="S261" s="24" t="str">
        <x:f>IF(H261="否","非本次棧板儲位分析對象",IF(R261="是","旺季前需前移並增加棧板位",IF(N261&gt;0,"需增加棧板位",IF(N261&lt;0,"可釋放部分棧板位","維持現況"))))</x:f>
        <x:v>非本次棧板儲位分析對象</x:v>
      </x:c>
    </x:row>
    <x:row r="262">
      <x:c r="A262" s="24" t="str">
        <x:f>'500件商品'!A262</x:f>
        <x:v>PX0258</x:v>
      </x:c>
      <x:c r="B262" s="24" t="str">
        <x:f>'500件商品'!B262</x:f>
        <x:v>面紙箱-小包裝</x:v>
      </x:c>
      <x:c r="C262" s="24" t="str">
        <x:f>'500件商品'!D262</x:f>
        <x:v>Cluster 5</x:v>
      </x:c>
      <x:c r="D262" s="26" t="n">
        <x:f>'500件商品'!F262</x:f>
        <x:v>54</x:v>
      </x:c>
      <x:c r="E262" s="24" t="str">
        <x:f>'500件商品'!K262</x:f>
        <x:v>否</x:v>
      </x:c>
      <x:c r="F262" s="24" t="str">
        <x:f>'500件商品'!L262</x:f>
      </x:c>
      <x:c r="G262" s="28" t="n">
        <x:f>'500件商品'!M262</x:f>
        <x:v>1</x:v>
      </x:c>
      <x:c r="H262" s="24" t="str">
        <x:f>'500件商品'!P262</x:f>
        <x:v>是</x:v>
      </x:c>
      <x:c r="I262" s="26" t="n">
        <x:f>'500件商品'!N262</x:f>
        <x:v>201</x:v>
      </x:c>
      <x:c r="J262" s="26" t="n">
        <x:f>'500件商品'!O262</x:f>
        <x:v>60</x:v>
      </x:c>
      <x:c r="K262" s="26" t="n">
        <x:f>IF(H262="是",CEILING(I262/J262,1),0)</x:f>
        <x:v>4</x:v>
      </x:c>
      <x:c r="L262" s="26" t="n">
        <x:f>ROUND(I262*G262,0)</x:f>
        <x:v>201</x:v>
      </x:c>
      <x:c r="M262" s="26" t="n">
        <x:f>IF(H262="是",CEILING(L262/J262,1),0)</x:f>
        <x:v>4</x:v>
      </x:c>
      <x:c r="N262" s="26" t="n">
        <x:f>M262-K262</x:f>
        <x:v>0</x:v>
      </x:c>
      <x:c r="O262" s="24" t="str">
        <x:f>'500件商品'!Q262</x:f>
        <x:v>1區</x:v>
      </x:c>
      <x:c r="P262" s="26" t="n">
        <x:f>'500件商品'!R262</x:f>
        <x:v>23</x:v>
      </x:c>
      <x:c r="Q262" s="24" t="str">
        <x:f>IF(H262="否","非棧板管理",IF(AND(E262="是",N262&gt;0),"季節彈性前移區",IF(OR(C262="Cluster 3",D262&gt;=55),"近端低層棧板區",IF(C262="Cluster 2","中段大貨位",IF(C262="Cluster 4","遠端彈性儲位","中段棧板區")))))</x:f>
        <x:v>中段棧板區</x:v>
      </x:c>
      <x:c r="R262" s="24" t="str">
        <x:f>IF(AND(H262="是",E262="是",N262&gt;0),"是","否")</x:f>
        <x:v>否</x:v>
      </x:c>
      <x:c r="S262" s="24" t="str">
        <x:f>IF(H262="否","非本次棧板儲位分析對象",IF(R262="是","旺季前需前移並增加棧板位",IF(N262&gt;0,"需增加棧板位",IF(N262&lt;0,"可釋放部分棧板位","維持現況"))))</x:f>
        <x:v>維持現況</x:v>
      </x:c>
    </x:row>
    <x:row r="263">
      <x:c r="A263" s="24" t="str">
        <x:f>'500件商品'!A263</x:f>
        <x:v>PX0259</x:v>
      </x:c>
      <x:c r="B263" s="24" t="str">
        <x:f>'500件商品'!B263</x:f>
        <x:v>端午禮盒-補充包</x:v>
      </x:c>
      <x:c r="C263" s="24" t="str">
        <x:f>'500件商品'!D263</x:f>
        <x:v>Cluster 4</x:v>
      </x:c>
      <x:c r="D263" s="26" t="n">
        <x:f>'500件商品'!F263</x:f>
        <x:v>6</x:v>
      </x:c>
      <x:c r="E263" s="24" t="str">
        <x:f>'500件商品'!K263</x:f>
        <x:v>是</x:v>
      </x:c>
      <x:c r="F263" s="24" t="str">
        <x:f>'500件商品'!L263</x:f>
        <x:v>1-2月</x:v>
      </x:c>
      <x:c r="G263" s="28" t="n">
        <x:f>'500件商品'!M263</x:f>
        <x:v>2</x:v>
      </x:c>
      <x:c r="H263" s="24" t="str">
        <x:f>'500件商品'!P263</x:f>
        <x:v>是</x:v>
      </x:c>
      <x:c r="I263" s="26" t="n">
        <x:f>'500件商品'!N263</x:f>
        <x:v>240</x:v>
      </x:c>
      <x:c r="J263" s="26" t="n">
        <x:f>'500件商品'!O263</x:f>
        <x:v>30</x:v>
      </x:c>
      <x:c r="K263" s="26" t="n">
        <x:f>IF(H263="是",CEILING(I263/J263,1),0)</x:f>
        <x:v>8</x:v>
      </x:c>
      <x:c r="L263" s="26" t="n">
        <x:f>ROUND(I263*G263,0)</x:f>
        <x:v>480</x:v>
      </x:c>
      <x:c r="M263" s="26" t="n">
        <x:f>IF(H263="是",CEILING(L263/J263,1),0)</x:f>
        <x:v>16</x:v>
      </x:c>
      <x:c r="N263" s="26" t="n">
        <x:f>M263-K263</x:f>
        <x:v>8</x:v>
      </x:c>
      <x:c r="O263" s="24" t="str">
        <x:f>'500件商品'!Q263</x:f>
        <x:v>1區</x:v>
      </x:c>
      <x:c r="P263" s="26" t="n">
        <x:f>'500件商品'!R263</x:f>
        <x:v>39</x:v>
      </x:c>
      <x:c r="Q263" s="24" t="str">
        <x:f>IF(H263="否","非棧板管理",IF(AND(E263="是",N263&gt;0),"季節彈性前移區",IF(OR(C263="Cluster 3",D263&gt;=55),"近端低層棧板區",IF(C263="Cluster 2","中段大貨位",IF(C263="Cluster 4","遠端彈性儲位","中段棧板區")))))</x:f>
        <x:v>季節彈性前移區</x:v>
      </x:c>
      <x:c r="R263" s="24" t="str">
        <x:f>IF(AND(H263="是",E263="是",N263&gt;0),"是","否")</x:f>
        <x:v>是</x:v>
      </x:c>
      <x:c r="S263" s="24" t="str">
        <x:f>IF(H263="否","非本次棧板儲位分析對象",IF(R263="是","旺季前需前移並增加棧板位",IF(N263&gt;0,"需增加棧板位",IF(N263&lt;0,"可釋放部分棧板位","維持現況"))))</x:f>
        <x:v>旺季前需前移並增加棧板位</x:v>
      </x:c>
    </x:row>
    <x:row r="264">
      <x:c r="A264" s="24" t="str">
        <x:f>'500件商品'!A264</x:f>
        <x:v>PX0260</x:v>
      </x:c>
      <x:c r="B264" s="24" t="str">
        <x:f>'500件商品'!B264</x:f>
        <x:v>牙刷組-箱裝</x:v>
      </x:c>
      <x:c r="C264" s="24" t="str">
        <x:f>'500件商品'!D264</x:f>
        <x:v>Cluster 5</x:v>
      </x:c>
      <x:c r="D264" s="26" t="n">
        <x:f>'500件商品'!F264</x:f>
        <x:v>20</x:v>
      </x:c>
      <x:c r="E264" s="24" t="str">
        <x:f>'500件商品'!K264</x:f>
        <x:v>否</x:v>
      </x:c>
      <x:c r="F264" s="24" t="str">
        <x:f>'500件商品'!L264</x:f>
      </x:c>
      <x:c r="G264" s="28" t="n">
        <x:f>'500件商品'!M264</x:f>
        <x:v>1</x:v>
      </x:c>
      <x:c r="H264" s="24" t="str">
        <x:f>'500件商品'!P264</x:f>
        <x:v>否</x:v>
      </x:c>
      <x:c r="I264" s="26" t="n">
        <x:f>'500件商品'!N264</x:f>
        <x:v>96</x:v>
      </x:c>
      <x:c r="J264" s="26" t="str">
        <x:f>'500件商品'!O264</x:f>
      </x:c>
      <x:c r="K264" s="26" t="n">
        <x:f>IF(H264="是",CEILING(I264/J264,1),0)</x:f>
        <x:v>0</x:v>
      </x:c>
      <x:c r="L264" s="26" t="n">
        <x:f>ROUND(I264*G264,0)</x:f>
        <x:v>96</x:v>
      </x:c>
      <x:c r="M264" s="26" t="n">
        <x:f>IF(H264="是",CEILING(L264/J264,1),0)</x:f>
        <x:v>0</x:v>
      </x:c>
      <x:c r="N264" s="26" t="n">
        <x:f>M264-K264</x:f>
        <x:v>0</x:v>
      </x:c>
      <x:c r="O264" s="24" t="str">
        <x:f>'500件商品'!Q264</x:f>
        <x:v>A區</x:v>
      </x:c>
      <x:c r="P264" s="26" t="n">
        <x:f>'500件商品'!R264</x:f>
        <x:v>25</x:v>
      </x:c>
      <x:c r="Q264" s="24" t="str">
        <x:f>IF(H264="否","非棧板管理",IF(AND(E264="是",N264&gt;0),"季節彈性前移區",IF(OR(C264="Cluster 3",D264&gt;=55),"近端低層棧板區",IF(C264="Cluster 2","中段大貨位",IF(C264="Cluster 4","遠端彈性儲位","中段棧板區")))))</x:f>
        <x:v>非棧板管理</x:v>
      </x:c>
      <x:c r="R264" s="24" t="str">
        <x:f>IF(AND(H264="是",E264="是",N264&gt;0),"是","否")</x:f>
        <x:v>否</x:v>
      </x:c>
      <x:c r="S264" s="24" t="str">
        <x:f>IF(H264="否","非本次棧板儲位分析對象",IF(R264="是","旺季前需前移並增加棧板位",IF(N264&gt;0,"需增加棧板位",IF(N264&lt;0,"可釋放部分棧板位","維持現況"))))</x:f>
        <x:v>非本次棧板儲位分析對象</x:v>
      </x:c>
    </x:row>
    <x:row r="265">
      <x:c r="A265" s="24" t="str">
        <x:f>'500件商品'!A265</x:f>
        <x:v>PX0261</x:v>
      </x:c>
      <x:c r="B265" s="24" t="str">
        <x:f>'500件商品'!B265</x:f>
        <x:v>廚房紙巾-補充包</x:v>
      </x:c>
      <x:c r="C265" s="24" t="str">
        <x:f>'500件商品'!D265</x:f>
        <x:v>Cluster 2</x:v>
      </x:c>
      <x:c r="D265" s="26" t="n">
        <x:f>'500件商品'!F265</x:f>
        <x:v>18</x:v>
      </x:c>
      <x:c r="E265" s="24" t="str">
        <x:f>'500件商品'!K265</x:f>
        <x:v>否</x:v>
      </x:c>
      <x:c r="F265" s="24" t="str">
        <x:f>'500件商品'!L265</x:f>
      </x:c>
      <x:c r="G265" s="28" t="n">
        <x:f>'500件商品'!M265</x:f>
        <x:v>1</x:v>
      </x:c>
      <x:c r="H265" s="24" t="str">
        <x:f>'500件商品'!P265</x:f>
        <x:v>是</x:v>
      </x:c>
      <x:c r="I265" s="26" t="n">
        <x:f>'500件商品'!N265</x:f>
        <x:v>97</x:v>
      </x:c>
      <x:c r="J265" s="26" t="n">
        <x:f>'500件商品'!O265</x:f>
        <x:v>18</x:v>
      </x:c>
      <x:c r="K265" s="26" t="n">
        <x:f>IF(H265="是",CEILING(I265/J265,1),0)</x:f>
        <x:v>6</x:v>
      </x:c>
      <x:c r="L265" s="26" t="n">
        <x:f>ROUND(I265*G265,0)</x:f>
        <x:v>97</x:v>
      </x:c>
      <x:c r="M265" s="26" t="n">
        <x:f>IF(H265="是",CEILING(L265/J265,1),0)</x:f>
        <x:v>6</x:v>
      </x:c>
      <x:c r="N265" s="26" t="n">
        <x:f>M265-K265</x:f>
        <x:v>0</x:v>
      </x:c>
      <x:c r="O265" s="24" t="str">
        <x:f>'500件商品'!Q265</x:f>
        <x:v>A區</x:v>
      </x:c>
      <x:c r="P265" s="26" t="n">
        <x:f>'500件商品'!R265</x:f>
        <x:v>18</x:v>
      </x:c>
      <x:c r="Q265" s="24" t="str">
        <x:f>IF(H265="否","非棧板管理",IF(AND(E265="是",N265&gt;0),"季節彈性前移區",IF(OR(C265="Cluster 3",D265&gt;=55),"近端低層棧板區",IF(C265="Cluster 2","中段大貨位",IF(C265="Cluster 4","遠端彈性儲位","中段棧板區")))))</x:f>
        <x:v>中段大貨位</x:v>
      </x:c>
      <x:c r="R265" s="24" t="str">
        <x:f>IF(AND(H265="是",E265="是",N265&gt;0),"是","否")</x:f>
        <x:v>否</x:v>
      </x:c>
      <x:c r="S265" s="24" t="str">
        <x:f>IF(H265="否","非本次棧板儲位分析對象",IF(R265="是","旺季前需前移並增加棧板位",IF(N265&gt;0,"需增加棧板位",IF(N265&lt;0,"可釋放部分棧板位","維持現況"))))</x:f>
        <x:v>維持現況</x:v>
      </x:c>
    </x:row>
    <x:row r="266">
      <x:c r="A266" s="24" t="str">
        <x:f>'500件商品'!A266</x:f>
        <x:v>PX0262</x:v>
      </x:c>
      <x:c r="B266" s="24" t="str">
        <x:f>'500件商品'!B266</x:f>
        <x:v>抽取式衛生紙-促銷組</x:v>
      </x:c>
      <x:c r="C266" s="24" t="str">
        <x:f>'500件商品'!D266</x:f>
        <x:v>Cluster 2</x:v>
      </x:c>
      <x:c r="D266" s="26" t="n">
        <x:f>'500件商品'!F266</x:f>
        <x:v>26</x:v>
      </x:c>
      <x:c r="E266" s="24" t="str">
        <x:f>'500件商品'!K266</x:f>
        <x:v>否</x:v>
      </x:c>
      <x:c r="F266" s="24" t="str">
        <x:f>'500件商品'!L266</x:f>
      </x:c>
      <x:c r="G266" s="28" t="n">
        <x:f>'500件商品'!M266</x:f>
        <x:v>1</x:v>
      </x:c>
      <x:c r="H266" s="24" t="str">
        <x:f>'500件商品'!P266</x:f>
        <x:v>是</x:v>
      </x:c>
      <x:c r="I266" s="26" t="n">
        <x:f>'500件商品'!N266</x:f>
        <x:v>203</x:v>
      </x:c>
      <x:c r="J266" s="26" t="n">
        <x:f>'500件商品'!O266</x:f>
        <x:v>30</x:v>
      </x:c>
      <x:c r="K266" s="26" t="n">
        <x:f>IF(H266="是",CEILING(I266/J266,1),0)</x:f>
        <x:v>7</x:v>
      </x:c>
      <x:c r="L266" s="26" t="n">
        <x:f>ROUND(I266*G266,0)</x:f>
        <x:v>203</x:v>
      </x:c>
      <x:c r="M266" s="26" t="n">
        <x:f>IF(H266="是",CEILING(L266/J266,1),0)</x:f>
        <x:v>7</x:v>
      </x:c>
      <x:c r="N266" s="26" t="n">
        <x:f>M266-K266</x:f>
        <x:v>0</x:v>
      </x:c>
      <x:c r="O266" s="24" t="str">
        <x:f>'500件商品'!Q266</x:f>
        <x:v>遠端區</x:v>
      </x:c>
      <x:c r="P266" s="26" t="n">
        <x:f>'500件商品'!R266</x:f>
        <x:v>57</x:v>
      </x:c>
      <x:c r="Q266" s="24" t="str">
        <x:f>IF(H266="否","非棧板管理",IF(AND(E266="是",N266&gt;0),"季節彈性前移區",IF(OR(C266="Cluster 3",D266&gt;=55),"近端低層棧板區",IF(C266="Cluster 2","中段大貨位",IF(C266="Cluster 4","遠端彈性儲位","中段棧板區")))))</x:f>
        <x:v>中段大貨位</x:v>
      </x:c>
      <x:c r="R266" s="24" t="str">
        <x:f>IF(AND(H266="是",E266="是",N266&gt;0),"是","否")</x:f>
        <x:v>否</x:v>
      </x:c>
      <x:c r="S266" s="24" t="str">
        <x:f>IF(H266="否","非本次棧板儲位分析對象",IF(R266="是","旺季前需前移並增加棧板位",IF(N266&gt;0,"需增加棧板位",IF(N266&lt;0,"可釋放部分棧板位","維持現況"))))</x:f>
        <x:v>維持現況</x:v>
      </x:c>
    </x:row>
    <x:row r="267">
      <x:c r="A267" s="24" t="str">
        <x:f>'500件商品'!A267</x:f>
        <x:v>PX0263</x:v>
      </x:c>
      <x:c r="B267" s="24" t="str">
        <x:f>'500件商品'!B267</x:f>
        <x:v>碳酸飲料整箱-家庭號</x:v>
      </x:c>
      <x:c r="C267" s="24" t="str">
        <x:f>'500件商品'!D267</x:f>
        <x:v>Cluster 2</x:v>
      </x:c>
      <x:c r="D267" s="26" t="n">
        <x:f>'500件商品'!F267</x:f>
        <x:v>51</x:v>
      </x:c>
      <x:c r="E267" s="24" t="str">
        <x:f>'500件商品'!K267</x:f>
        <x:v>否</x:v>
      </x:c>
      <x:c r="F267" s="24" t="str">
        <x:f>'500件商品'!L267</x:f>
      </x:c>
      <x:c r="G267" s="28" t="n">
        <x:f>'500件商品'!M267</x:f>
        <x:v>1.5</x:v>
      </x:c>
      <x:c r="H267" s="24" t="str">
        <x:f>'500件商品'!P267</x:f>
        <x:v>是</x:v>
      </x:c>
      <x:c r="I267" s="26" t="n">
        <x:f>'500件商品'!N267</x:f>
        <x:v>219</x:v>
      </x:c>
      <x:c r="J267" s="26" t="n">
        <x:f>'500件商品'!O267</x:f>
        <x:v>40</x:v>
      </x:c>
      <x:c r="K267" s="26" t="n">
        <x:f>IF(H267="是",CEILING(I267/J267,1),0)</x:f>
        <x:v>6</x:v>
      </x:c>
      <x:c r="L267" s="26" t="n">
        <x:f>ROUND(I267*G267,0)</x:f>
        <x:v>329</x:v>
      </x:c>
      <x:c r="M267" s="26" t="n">
        <x:f>IF(H267="是",CEILING(L267/J267,1),0)</x:f>
        <x:v>9</x:v>
      </x:c>
      <x:c r="N267" s="26" t="n">
        <x:f>M267-K267</x:f>
        <x:v>3</x:v>
      </x:c>
      <x:c r="O267" s="24" t="str">
        <x:f>'500件商品'!Q267</x:f>
        <x:v>彈性區</x:v>
      </x:c>
      <x:c r="P267" s="26" t="n">
        <x:f>'500件商品'!R267</x:f>
        <x:v>52</x:v>
      </x:c>
      <x:c r="Q267" s="24" t="str">
        <x:f>IF(H267="否","非棧板管理",IF(AND(E267="是",N267&gt;0),"季節彈性前移區",IF(OR(C267="Cluster 3",D267&gt;=55),"近端低層棧板區",IF(C267="Cluster 2","中段大貨位",IF(C267="Cluster 4","遠端彈性儲位","中段棧板區")))))</x:f>
        <x:v>中段大貨位</x:v>
      </x:c>
      <x:c r="R267" s="24" t="str">
        <x:f>IF(AND(H267="是",E267="是",N267&gt;0),"是","否")</x:f>
        <x:v>否</x:v>
      </x:c>
      <x:c r="S267" s="24" t="str">
        <x:f>IF(H267="否","非本次棧板儲位分析對象",IF(R267="是","旺季前需前移並增加棧板位",IF(N267&gt;0,"需增加棧板位",IF(N267&lt;0,"可釋放部分棧板位","維持現況"))))</x:f>
        <x:v>需增加棧板位</x:v>
      </x:c>
    </x:row>
    <x:row r="268">
      <x:c r="A268" s="24" t="str">
        <x:f>'500件商品'!A268</x:f>
        <x:v>PX0264</x:v>
      </x:c>
      <x:c r="B268" s="24" t="str">
        <x:f>'500件商品'!B268</x:f>
        <x:v>捲筒衛生紙-標準箱</x:v>
      </x:c>
      <x:c r="C268" s="24" t="str">
        <x:f>'500件商品'!D268</x:f>
        <x:v>Cluster 2</x:v>
      </x:c>
      <x:c r="D268" s="26" t="n">
        <x:f>'500件商品'!F268</x:f>
        <x:v>87</x:v>
      </x:c>
      <x:c r="E268" s="24" t="str">
        <x:f>'500件商品'!K268</x:f>
        <x:v>否</x:v>
      </x:c>
      <x:c r="F268" s="24" t="str">
        <x:f>'500件商品'!L268</x:f>
      </x:c>
      <x:c r="G268" s="28" t="n">
        <x:f>'500件商品'!M268</x:f>
        <x:v>1</x:v>
      </x:c>
      <x:c r="H268" s="24" t="str">
        <x:f>'500件商品'!P268</x:f>
        <x:v>是</x:v>
      </x:c>
      <x:c r="I268" s="26" t="n">
        <x:f>'500件商品'!N268</x:f>
        <x:v>509</x:v>
      </x:c>
      <x:c r="J268" s="26" t="n">
        <x:f>'500件商品'!O268</x:f>
        <x:v>24</x:v>
      </x:c>
      <x:c r="K268" s="26" t="n">
        <x:f>IF(H268="是",CEILING(I268/J268,1),0)</x:f>
        <x:v>22</x:v>
      </x:c>
      <x:c r="L268" s="26" t="n">
        <x:f>ROUND(I268*G268,0)</x:f>
        <x:v>509</x:v>
      </x:c>
      <x:c r="M268" s="26" t="n">
        <x:f>IF(H268="是",CEILING(L268/J268,1),0)</x:f>
        <x:v>22</x:v>
      </x:c>
      <x:c r="N268" s="26" t="n">
        <x:f>M268-K268</x:f>
        <x:v>0</x:v>
      </x:c>
      <x:c r="O268" s="24" t="str">
        <x:f>'500件商品'!Q268</x:f>
        <x:v>彈性區</x:v>
      </x:c>
      <x:c r="P268" s="26" t="n">
        <x:f>'500件商品'!R268</x:f>
        <x:v>45</x:v>
      </x:c>
      <x:c r="Q268" s="24" t="str">
        <x:f>IF(H268="否","非棧板管理",IF(AND(E268="是",N268&gt;0),"季節彈性前移區",IF(OR(C268="Cluster 3",D268&gt;=55),"近端低層棧板區",IF(C268="Cluster 2","中段大貨位",IF(C268="Cluster 4","遠端彈性儲位","中段棧板區")))))</x:f>
        <x:v>近端低層棧板區</x:v>
      </x:c>
      <x:c r="R268" s="24" t="str">
        <x:f>IF(AND(H268="是",E268="是",N268&gt;0),"是","否")</x:f>
        <x:v>否</x:v>
      </x:c>
      <x:c r="S268" s="24" t="str">
        <x:f>IF(H268="否","非本次棧板儲位分析對象",IF(R268="是","旺季前需前移並增加棧板位",IF(N268&gt;0,"需增加棧板位",IF(N268&lt;0,"可釋放部分棧板位","維持現況"))))</x:f>
        <x:v>維持現況</x:v>
      </x:c>
    </x:row>
    <x:row r="269">
      <x:c r="A269" s="24" t="str">
        <x:f>'500件商品'!A269</x:f>
        <x:v>PX0265</x:v>
      </x:c>
      <x:c r="B269" s="24" t="str">
        <x:f>'500件商品'!B269</x:f>
        <x:v>咖哩塊箱-補充包</x:v>
      </x:c>
      <x:c r="C269" s="24" t="str">
        <x:f>'500件商品'!D269</x:f>
        <x:v>Cluster 5</x:v>
      </x:c>
      <x:c r="D269" s="26" t="n">
        <x:f>'500件商品'!F269</x:f>
        <x:v>14</x:v>
      </x:c>
      <x:c r="E269" s="24" t="str">
        <x:f>'500件商品'!K269</x:f>
        <x:v>否</x:v>
      </x:c>
      <x:c r="F269" s="24" t="str">
        <x:f>'500件商品'!L269</x:f>
      </x:c>
      <x:c r="G269" s="28" t="n">
        <x:f>'500件商品'!M269</x:f>
        <x:v>1</x:v>
      </x:c>
      <x:c r="H269" s="24" t="str">
        <x:f>'500件商品'!P269</x:f>
        <x:v>否</x:v>
      </x:c>
      <x:c r="I269" s="26" t="n">
        <x:f>'500件商品'!N269</x:f>
        <x:v>43</x:v>
      </x:c>
      <x:c r="J269" s="26" t="str">
        <x:f>'500件商品'!O269</x:f>
      </x:c>
      <x:c r="K269" s="26" t="n">
        <x:f>IF(H269="是",CEILING(I269/J269,1),0)</x:f>
        <x:v>0</x:v>
      </x:c>
      <x:c r="L269" s="26" t="n">
        <x:f>ROUND(I269*G269,0)</x:f>
        <x:v>43</x:v>
      </x:c>
      <x:c r="M269" s="26" t="n">
        <x:f>IF(H269="是",CEILING(L269/J269,1),0)</x:f>
        <x:v>0</x:v>
      </x:c>
      <x:c r="N269" s="26" t="n">
        <x:f>M269-K269</x:f>
        <x:v>0</x:v>
      </x:c>
      <x:c r="O269" s="24" t="str">
        <x:f>'500件商品'!Q269</x:f>
        <x:v>3區</x:v>
      </x:c>
      <x:c r="P269" s="26" t="n">
        <x:f>'500件商品'!R269</x:f>
        <x:v>30</x:v>
      </x:c>
      <x:c r="Q269" s="24" t="str">
        <x:f>IF(H269="否","非棧板管理",IF(AND(E269="是",N269&gt;0),"季節彈性前移區",IF(OR(C269="Cluster 3",D269&gt;=55),"近端低層棧板區",IF(C269="Cluster 2","中段大貨位",IF(C269="Cluster 4","遠端彈性儲位","中段棧板區")))))</x:f>
        <x:v>非棧板管理</x:v>
      </x:c>
      <x:c r="R269" s="24" t="str">
        <x:f>IF(AND(H269="是",E269="是",N269&gt;0),"是","否")</x:f>
        <x:v>否</x:v>
      </x:c>
      <x:c r="S269" s="24" t="str">
        <x:f>IF(H269="否","非本次棧板儲位分析對象",IF(R269="是","旺季前需前移並增加棧板位",IF(N269&gt;0,"需增加棧板位",IF(N269&lt;0,"可釋放部分棧板位","維持現況"))))</x:f>
        <x:v>非本次棧板儲位分析對象</x:v>
      </x:c>
    </x:row>
    <x:row r="270">
      <x:c r="A270" s="24" t="str">
        <x:f>'500件商品'!A270</x:f>
        <x:v>PX0266</x:v>
      </x:c>
      <x:c r="B270" s="24" t="str">
        <x:f>'500件商品'!B270</x:f>
        <x:v>寵物飼料5kg-補充包</x:v>
      </x:c>
      <x:c r="C270" s="24" t="str">
        <x:f>'500件商品'!D270</x:f>
        <x:v>Cluster 3</x:v>
      </x:c>
      <x:c r="D270" s="26" t="n">
        <x:f>'500件商品'!F270</x:f>
        <x:v>77</x:v>
      </x:c>
      <x:c r="E270" s="24" t="str">
        <x:f>'500件商品'!K270</x:f>
        <x:v>否</x:v>
      </x:c>
      <x:c r="F270" s="24" t="str">
        <x:f>'500件商品'!L270</x:f>
      </x:c>
      <x:c r="G270" s="28" t="n">
        <x:f>'500件商品'!M270</x:f>
        <x:v>1.1</x:v>
      </x:c>
      <x:c r="H270" s="24" t="str">
        <x:f>'500件商品'!P270</x:f>
        <x:v>是</x:v>
      </x:c>
      <x:c r="I270" s="26" t="n">
        <x:f>'500件商品'!N270</x:f>
        <x:v>550</x:v>
      </x:c>
      <x:c r="J270" s="26" t="n">
        <x:f>'500件商品'!O270</x:f>
        <x:v>18</x:v>
      </x:c>
      <x:c r="K270" s="26" t="n">
        <x:f>IF(H270="是",CEILING(I270/J270,1),0)</x:f>
        <x:v>31</x:v>
      </x:c>
      <x:c r="L270" s="26" t="n">
        <x:f>ROUND(I270*G270,0)</x:f>
        <x:v>605</x:v>
      </x:c>
      <x:c r="M270" s="26" t="n">
        <x:f>IF(H270="是",CEILING(L270/J270,1),0)</x:f>
        <x:v>34</x:v>
      </x:c>
      <x:c r="N270" s="26" t="n">
        <x:f>M270-K270</x:f>
        <x:v>3</x:v>
      </x:c>
      <x:c r="O270" s="24" t="str">
        <x:f>'500件商品'!Q270</x:f>
        <x:v>3區</x:v>
      </x:c>
      <x:c r="P270" s="26" t="n">
        <x:f>'500件商品'!R270</x:f>
        <x:v>48</x:v>
      </x:c>
      <x:c r="Q270" s="24" t="str">
        <x:f>IF(H270="否","非棧板管理",IF(AND(E270="是",N270&gt;0),"季節彈性前移區",IF(OR(C270="Cluster 3",D270&gt;=55),"近端低層棧板區",IF(C270="Cluster 2","中段大貨位",IF(C270="Cluster 4","遠端彈性儲位","中段棧板區")))))</x:f>
        <x:v>近端低層棧板區</x:v>
      </x:c>
      <x:c r="R270" s="24" t="str">
        <x:f>IF(AND(H270="是",E270="是",N270&gt;0),"是","否")</x:f>
        <x:v>否</x:v>
      </x:c>
      <x:c r="S270" s="24" t="str">
        <x:f>IF(H270="否","非本次棧板儲位分析對象",IF(R270="是","旺季前需前移並增加棧板位",IF(N270&gt;0,"需增加棧板位",IF(N270&lt;0,"可釋放部分棧板位","維持現況"))))</x:f>
        <x:v>需增加棧板位</x:v>
      </x:c>
    </x:row>
    <x:row r="271">
      <x:c r="A271" s="24" t="str">
        <x:f>'500件商品'!A271</x:f>
        <x:v>PX0267</x:v>
      </x:c>
      <x:c r="B271" s="24" t="str">
        <x:f>'500件商品'!B271</x:f>
        <x:v>洗髮精-箱裝</x:v>
      </x:c>
      <x:c r="C271" s="24" t="str">
        <x:f>'500件商品'!D271</x:f>
        <x:v>Cluster 1</x:v>
      </x:c>
      <x:c r="D271" s="26" t="n">
        <x:f>'500件商品'!F271</x:f>
        <x:v>45</x:v>
      </x:c>
      <x:c r="E271" s="24" t="str">
        <x:f>'500件商品'!K271</x:f>
        <x:v>否</x:v>
      </x:c>
      <x:c r="F271" s="24" t="str">
        <x:f>'500件商品'!L271</x:f>
      </x:c>
      <x:c r="G271" s="28" t="n">
        <x:f>'500件商品'!M271</x:f>
        <x:v>1.1</x:v>
      </x:c>
      <x:c r="H271" s="24" t="str">
        <x:f>'500件商品'!P271</x:f>
        <x:v>是</x:v>
      </x:c>
      <x:c r="I271" s="26" t="n">
        <x:f>'500件商品'!N271</x:f>
        <x:v>898</x:v>
      </x:c>
      <x:c r="J271" s="26" t="n">
        <x:f>'500件商品'!O271</x:f>
        <x:v>60</x:v>
      </x:c>
      <x:c r="K271" s="26" t="n">
        <x:f>IF(H271="是",CEILING(I271/J271,1),0)</x:f>
        <x:v>15</x:v>
      </x:c>
      <x:c r="L271" s="26" t="n">
        <x:f>ROUND(I271*G271,0)</x:f>
        <x:v>988</x:v>
      </x:c>
      <x:c r="M271" s="26" t="n">
        <x:f>IF(H271="是",CEILING(L271/J271,1),0)</x:f>
        <x:v>17</x:v>
      </x:c>
      <x:c r="N271" s="26" t="n">
        <x:f>M271-K271</x:f>
        <x:v>2</x:v>
      </x:c>
      <x:c r="O271" s="24" t="str">
        <x:f>'500件商品'!Q271</x:f>
        <x:v>1區</x:v>
      </x:c>
      <x:c r="P271" s="26" t="n">
        <x:f>'500件商品'!R271</x:f>
        <x:v>35</x:v>
      </x:c>
      <x:c r="Q271" s="24" t="str">
        <x:f>IF(H271="否","非棧板管理",IF(AND(E271="是",N271&gt;0),"季節彈性前移區",IF(OR(C271="Cluster 3",D271&gt;=55),"近端低層棧板區",IF(C271="Cluster 2","中段大貨位",IF(C271="Cluster 4","遠端彈性儲位","中段棧板區")))))</x:f>
        <x:v>中段棧板區</x:v>
      </x:c>
      <x:c r="R271" s="24" t="str">
        <x:f>IF(AND(H271="是",E271="是",N271&gt;0),"是","否")</x:f>
        <x:v>否</x:v>
      </x:c>
      <x:c r="S271" s="24" t="str">
        <x:f>IF(H271="否","非本次棧板儲位分析對象",IF(R271="是","旺季前需前移並增加棧板位",IF(N271&gt;0,"需增加棧板位",IF(N271&lt;0,"可釋放部分棧板位","維持現況"))))</x:f>
        <x:v>需增加棧板位</x:v>
      </x:c>
    </x:row>
    <x:row r="272">
      <x:c r="A272" s="24" t="str">
        <x:f>'500件商品'!A272</x:f>
        <x:v>PX0268</x:v>
      </x:c>
      <x:c r="B272" s="24" t="str">
        <x:f>'500件商品'!B272</x:f>
        <x:v>面紙箱-小包裝</x:v>
      </x:c>
      <x:c r="C272" s="24" t="str">
        <x:f>'500件商品'!D272</x:f>
        <x:v>Cluster 5</x:v>
      </x:c>
      <x:c r="D272" s="26" t="n">
        <x:f>'500件商品'!F272</x:f>
        <x:v>27</x:v>
      </x:c>
      <x:c r="E272" s="24" t="str">
        <x:f>'500件商品'!K272</x:f>
        <x:v>否</x:v>
      </x:c>
      <x:c r="F272" s="24" t="str">
        <x:f>'500件商品'!L272</x:f>
      </x:c>
      <x:c r="G272" s="28" t="n">
        <x:f>'500件商品'!M272</x:f>
        <x:v>1</x:v>
      </x:c>
      <x:c r="H272" s="24" t="str">
        <x:f>'500件商品'!P272</x:f>
        <x:v>否</x:v>
      </x:c>
      <x:c r="I272" s="26" t="n">
        <x:f>'500件商品'!N272</x:f>
        <x:v>142</x:v>
      </x:c>
      <x:c r="J272" s="26" t="str">
        <x:f>'500件商品'!O272</x:f>
      </x:c>
      <x:c r="K272" s="26" t="n">
        <x:f>IF(H272="是",CEILING(I272/J272,1),0)</x:f>
        <x:v>0</x:v>
      </x:c>
      <x:c r="L272" s="26" t="n">
        <x:f>ROUND(I272*G272,0)</x:f>
        <x:v>142</x:v>
      </x:c>
      <x:c r="M272" s="26" t="n">
        <x:f>IF(H272="是",CEILING(L272/J272,1),0)</x:f>
        <x:v>0</x:v>
      </x:c>
      <x:c r="N272" s="26" t="n">
        <x:f>M272-K272</x:f>
        <x:v>0</x:v>
      </x:c>
      <x:c r="O272" s="24" t="str">
        <x:f>'500件商品'!Q272</x:f>
        <x:v>遠端區</x:v>
      </x:c>
      <x:c r="P272" s="26" t="n">
        <x:f>'500件商品'!R272</x:f>
        <x:v>56</x:v>
      </x:c>
      <x:c r="Q272" s="24" t="str">
        <x:f>IF(H272="否","非棧板管理",IF(AND(E272="是",N272&gt;0),"季節彈性前移區",IF(OR(C272="Cluster 3",D272&gt;=55),"近端低層棧板區",IF(C272="Cluster 2","中段大貨位",IF(C272="Cluster 4","遠端彈性儲位","中段棧板區")))))</x:f>
        <x:v>非棧板管理</x:v>
      </x:c>
      <x:c r="R272" s="24" t="str">
        <x:f>IF(AND(H272="是",E272="是",N272&gt;0),"是","否")</x:f>
        <x:v>否</x:v>
      </x:c>
      <x:c r="S272" s="24" t="str">
        <x:f>IF(H272="否","非本次棧板儲位分析對象",IF(R272="是","旺季前需前移並增加棧板位",IF(N272&gt;0,"需增加棧板位",IF(N272&lt;0,"可釋放部分棧板位","維持現況"))))</x:f>
        <x:v>非本次棧板儲位分析對象</x:v>
      </x:c>
    </x:row>
    <x:row r="273">
      <x:c r="A273" s="24" t="str">
        <x:f>'500件商品'!A273</x:f>
        <x:v>PX0269</x:v>
      </x:c>
      <x:c r="B273" s="24" t="str">
        <x:f>'500件商品'!B273</x:f>
        <x:v>柔軟精-箱裝</x:v>
      </x:c>
      <x:c r="C273" s="24" t="str">
        <x:f>'500件商品'!D273</x:f>
        <x:v>Cluster 1</x:v>
      </x:c>
      <x:c r="D273" s="26" t="n">
        <x:f>'500件商品'!F273</x:f>
        <x:v>27</x:v>
      </x:c>
      <x:c r="E273" s="24" t="str">
        <x:f>'500件商品'!K273</x:f>
        <x:v>否</x:v>
      </x:c>
      <x:c r="F273" s="24" t="str">
        <x:f>'500件商品'!L273</x:f>
      </x:c>
      <x:c r="G273" s="28" t="n">
        <x:f>'500件商品'!M273</x:f>
        <x:v>1.1</x:v>
      </x:c>
      <x:c r="H273" s="24" t="str">
        <x:f>'500件商品'!P273</x:f>
        <x:v>是</x:v>
      </x:c>
      <x:c r="I273" s="26" t="n">
        <x:f>'500件商品'!N273</x:f>
        <x:v>199</x:v>
      </x:c>
      <x:c r="J273" s="26" t="n">
        <x:f>'500件商品'!O273</x:f>
        <x:v>72</x:v>
      </x:c>
      <x:c r="K273" s="26" t="n">
        <x:f>IF(H273="是",CEILING(I273/J273,1),0)</x:f>
        <x:v>3</x:v>
      </x:c>
      <x:c r="L273" s="26" t="n">
        <x:f>ROUND(I273*G273,0)</x:f>
        <x:v>219</x:v>
      </x:c>
      <x:c r="M273" s="26" t="n">
        <x:f>IF(H273="是",CEILING(L273/J273,1),0)</x:f>
        <x:v>4</x:v>
      </x:c>
      <x:c r="N273" s="26" t="n">
        <x:f>M273-K273</x:f>
        <x:v>1</x:v>
      </x:c>
      <x:c r="O273" s="24" t="str">
        <x:f>'500件商品'!Q273</x:f>
        <x:v>3區</x:v>
      </x:c>
      <x:c r="P273" s="26" t="n">
        <x:f>'500件商品'!R273</x:f>
        <x:v>47</x:v>
      </x:c>
      <x:c r="Q273" s="24" t="str">
        <x:f>IF(H273="否","非棧板管理",IF(AND(E273="是",N273&gt;0),"季節彈性前移區",IF(OR(C273="Cluster 3",D273&gt;=55),"近端低層棧板區",IF(C273="Cluster 2","中段大貨位",IF(C273="Cluster 4","遠端彈性儲位","中段棧板區")))))</x:f>
        <x:v>中段棧板區</x:v>
      </x:c>
      <x:c r="R273" s="24" t="str">
        <x:f>IF(AND(H273="是",E273="是",N273&gt;0),"是","否")</x:f>
        <x:v>否</x:v>
      </x:c>
      <x:c r="S273" s="24" t="str">
        <x:f>IF(H273="否","非本次棧板儲位分析對象",IF(R273="是","旺季前需前移並增加棧板位",IF(N273&gt;0,"需增加棧板位",IF(N273&lt;0,"可釋放部分棧板位","維持現況"))))</x:f>
        <x:v>需增加棧板位</x:v>
      </x:c>
    </x:row>
    <x:row r="274">
      <x:c r="A274" s="24" t="str">
        <x:f>'500件商品'!A274</x:f>
        <x:v>PX0270</x:v>
      </x:c>
      <x:c r="B274" s="24" t="str">
        <x:f>'500件商品'!B274</x:f>
        <x:v>漂白水-箱裝</x:v>
      </x:c>
      <x:c r="C274" s="24" t="str">
        <x:f>'500件商品'!D274</x:f>
        <x:v>Cluster 2</x:v>
      </x:c>
      <x:c r="D274" s="26" t="n">
        <x:f>'500件商品'!F274</x:f>
        <x:v>32</x:v>
      </x:c>
      <x:c r="E274" s="24" t="str">
        <x:f>'500件商品'!K274</x:f>
        <x:v>否</x:v>
      </x:c>
      <x:c r="F274" s="24" t="str">
        <x:f>'500件商品'!L274</x:f>
      </x:c>
      <x:c r="G274" s="28" t="n">
        <x:f>'500件商品'!M274</x:f>
        <x:v>1.5</x:v>
      </x:c>
      <x:c r="H274" s="24" t="str">
        <x:f>'500件商品'!P274</x:f>
        <x:v>是</x:v>
      </x:c>
      <x:c r="I274" s="26" t="n">
        <x:f>'500件商品'!N274</x:f>
        <x:v>123</x:v>
      </x:c>
      <x:c r="J274" s="26" t="n">
        <x:f>'500件商品'!O274</x:f>
        <x:v>36</x:v>
      </x:c>
      <x:c r="K274" s="26" t="n">
        <x:f>IF(H274="是",CEILING(I274/J274,1),0)</x:f>
        <x:v>4</x:v>
      </x:c>
      <x:c r="L274" s="26" t="n">
        <x:f>ROUND(I274*G274,0)</x:f>
        <x:v>185</x:v>
      </x:c>
      <x:c r="M274" s="26" t="n">
        <x:f>IF(H274="是",CEILING(L274/J274,1),0)</x:f>
        <x:v>6</x:v>
      </x:c>
      <x:c r="N274" s="26" t="n">
        <x:f>M274-K274</x:f>
        <x:v>2</x:v>
      </x:c>
      <x:c r="O274" s="24" t="str">
        <x:f>'500件商品'!Q274</x:f>
        <x:v>K區</x:v>
      </x:c>
      <x:c r="P274" s="26" t="n">
        <x:f>'500件商品'!R274</x:f>
        <x:v>45</x:v>
      </x:c>
      <x:c r="Q274" s="24" t="str">
        <x:f>IF(H274="否","非棧板管理",IF(AND(E274="是",N274&gt;0),"季節彈性前移區",IF(OR(C274="Cluster 3",D274&gt;=55),"近端低層棧板區",IF(C274="Cluster 2","中段大貨位",IF(C274="Cluster 4","遠端彈性儲位","中段棧板區")))))</x:f>
        <x:v>中段大貨位</x:v>
      </x:c>
      <x:c r="R274" s="24" t="str">
        <x:f>IF(AND(H274="是",E274="是",N274&gt;0),"是","否")</x:f>
        <x:v>否</x:v>
      </x:c>
      <x:c r="S274" s="24" t="str">
        <x:f>IF(H274="否","非本次棧板儲位分析對象",IF(R274="是","旺季前需前移並增加棧板位",IF(N274&gt;0,"需增加棧板位",IF(N274&lt;0,"可釋放部分棧板位","維持現況"))))</x:f>
        <x:v>需增加棧板位</x:v>
      </x:c>
    </x:row>
    <x:row r="275">
      <x:c r="A275" s="24" t="str">
        <x:f>'500件商品'!A275</x:f>
        <x:v>PX0271</x:v>
      </x:c>
      <x:c r="B275" s="24" t="str">
        <x:f>'500件商品'!B275</x:f>
        <x:v>保鮮盒-家庭號</x:v>
      </x:c>
      <x:c r="C275" s="24" t="str">
        <x:f>'500件商品'!D275</x:f>
        <x:v>Cluster 5</x:v>
      </x:c>
      <x:c r="D275" s="26" t="n">
        <x:f>'500件商品'!F275</x:f>
        <x:v>4</x:v>
      </x:c>
      <x:c r="E275" s="24" t="str">
        <x:f>'500件商品'!K275</x:f>
        <x:v>否</x:v>
      </x:c>
      <x:c r="F275" s="24" t="str">
        <x:f>'500件商品'!L275</x:f>
      </x:c>
      <x:c r="G275" s="28" t="n">
        <x:f>'500件商品'!M275</x:f>
        <x:v>1</x:v>
      </x:c>
      <x:c r="H275" s="24" t="str">
        <x:f>'500件商品'!P275</x:f>
        <x:v>否</x:v>
      </x:c>
      <x:c r="I275" s="26" t="n">
        <x:f>'500件商品'!N275</x:f>
        <x:v>18</x:v>
      </x:c>
      <x:c r="J275" s="26" t="str">
        <x:f>'500件商品'!O275</x:f>
      </x:c>
      <x:c r="K275" s="26" t="n">
        <x:f>IF(H275="是",CEILING(I275/J275,1),0)</x:f>
        <x:v>0</x:v>
      </x:c>
      <x:c r="L275" s="26" t="n">
        <x:f>ROUND(I275*G275,0)</x:f>
        <x:v>18</x:v>
      </x:c>
      <x:c r="M275" s="26" t="n">
        <x:f>IF(H275="是",CEILING(L275/J275,1),0)</x:f>
        <x:v>0</x:v>
      </x:c>
      <x:c r="N275" s="26" t="n">
        <x:f>M275-K275</x:f>
        <x:v>0</x:v>
      </x:c>
      <x:c r="O275" s="24" t="str">
        <x:f>'500件商品'!Q275</x:f>
        <x:v>A區</x:v>
      </x:c>
      <x:c r="P275" s="26" t="n">
        <x:f>'500件商品'!R275</x:f>
        <x:v>30</x:v>
      </x:c>
      <x:c r="Q275" s="24" t="str">
        <x:f>IF(H275="否","非棧板管理",IF(AND(E275="是",N275&gt;0),"季節彈性前移區",IF(OR(C275="Cluster 3",D275&gt;=55),"近端低層棧板區",IF(C275="Cluster 2","中段大貨位",IF(C275="Cluster 4","遠端彈性儲位","中段棧板區")))))</x:f>
        <x:v>非棧板管理</x:v>
      </x:c>
      <x:c r="R275" s="24" t="str">
        <x:f>IF(AND(H275="是",E275="是",N275&gt;0),"是","否")</x:f>
        <x:v>否</x:v>
      </x:c>
      <x:c r="S275" s="24" t="str">
        <x:f>IF(H275="否","非本次棧板儲位分析對象",IF(R275="是","旺季前需前移並增加棧板位",IF(N275&gt;0,"需增加棧板位",IF(N275&lt;0,"可釋放部分棧板位","維持現況"))))</x:f>
        <x:v>非本次棧板儲位分析對象</x:v>
      </x:c>
    </x:row>
    <x:row r="276">
      <x:c r="A276" s="24" t="str">
        <x:f>'500件商品'!A276</x:f>
        <x:v>PX0272</x:v>
      </x:c>
      <x:c r="B276" s="24" t="str">
        <x:f>'500件商品'!B276</x:f>
        <x:v>洗衣粉箱-促銷組</x:v>
      </x:c>
      <x:c r="C276" s="24" t="str">
        <x:f>'500件商品'!D276</x:f>
        <x:v>Cluster 1</x:v>
      </x:c>
      <x:c r="D276" s="26" t="n">
        <x:f>'500件商品'!F276</x:f>
        <x:v>19</x:v>
      </x:c>
      <x:c r="E276" s="24" t="str">
        <x:f>'500件商品'!K276</x:f>
        <x:v>否</x:v>
      </x:c>
      <x:c r="F276" s="24" t="str">
        <x:f>'500件商品'!L276</x:f>
      </x:c>
      <x:c r="G276" s="28" t="n">
        <x:f>'500件商品'!M276</x:f>
        <x:v>1</x:v>
      </x:c>
      <x:c r="H276" s="24" t="str">
        <x:f>'500件商品'!P276</x:f>
        <x:v>是</x:v>
      </x:c>
      <x:c r="I276" s="26" t="n">
        <x:f>'500件商品'!N276</x:f>
        <x:v>116</x:v>
      </x:c>
      <x:c r="J276" s="26" t="n">
        <x:f>'500件商品'!O276</x:f>
        <x:v>60</x:v>
      </x:c>
      <x:c r="K276" s="26" t="n">
        <x:f>IF(H276="是",CEILING(I276/J276,1),0)</x:f>
        <x:v>2</x:v>
      </x:c>
      <x:c r="L276" s="26" t="n">
        <x:f>ROUND(I276*G276,0)</x:f>
        <x:v>116</x:v>
      </x:c>
      <x:c r="M276" s="26" t="n">
        <x:f>IF(H276="是",CEILING(L276/J276,1),0)</x:f>
        <x:v>2</x:v>
      </x:c>
      <x:c r="N276" s="26" t="n">
        <x:f>M276-K276</x:f>
        <x:v>0</x:v>
      </x:c>
      <x:c r="O276" s="24" t="str">
        <x:f>'500件商品'!Q276</x:f>
        <x:v>1區</x:v>
      </x:c>
      <x:c r="P276" s="26" t="n">
        <x:f>'500件商品'!R276</x:f>
        <x:v>33</x:v>
      </x:c>
      <x:c r="Q276" s="24" t="str">
        <x:f>IF(H276="否","非棧板管理",IF(AND(E276="是",N276&gt;0),"季節彈性前移區",IF(OR(C276="Cluster 3",D276&gt;=55),"近端低層棧板區",IF(C276="Cluster 2","中段大貨位",IF(C276="Cluster 4","遠端彈性儲位","中段棧板區")))))</x:f>
        <x:v>中段棧板區</x:v>
      </x:c>
      <x:c r="R276" s="24" t="str">
        <x:f>IF(AND(H276="是",E276="是",N276&gt;0),"是","否")</x:f>
        <x:v>否</x:v>
      </x:c>
      <x:c r="S276" s="24" t="str">
        <x:f>IF(H276="否","非本次棧板儲位分析對象",IF(R276="是","旺季前需前移並增加棧板位",IF(N276&gt;0,"需增加棧板位",IF(N276&lt;0,"可釋放部分棧板位","維持現況"))))</x:f>
        <x:v>維持現況</x:v>
      </x:c>
    </x:row>
    <x:row r="277">
      <x:c r="A277" s="24" t="str">
        <x:f>'500件商品'!A277</x:f>
        <x:v>PX0273</x:v>
      </x:c>
      <x:c r="B277" s="24" t="str">
        <x:f>'500件商品'!B277</x:f>
        <x:v>碳酸飲料整箱-家庭號</x:v>
      </x:c>
      <x:c r="C277" s="24" t="str">
        <x:f>'500件商品'!D277</x:f>
        <x:v>Cluster 1</x:v>
      </x:c>
      <x:c r="D277" s="26" t="n">
        <x:f>'500件商品'!F277</x:f>
        <x:v>6</x:v>
      </x:c>
      <x:c r="E277" s="24" t="str">
        <x:f>'500件商品'!K277</x:f>
        <x:v>否</x:v>
      </x:c>
      <x:c r="F277" s="24" t="str">
        <x:f>'500件商品'!L277</x:f>
      </x:c>
      <x:c r="G277" s="28" t="n">
        <x:f>'500件商品'!M277</x:f>
        <x:v>1.3</x:v>
      </x:c>
      <x:c r="H277" s="24" t="str">
        <x:f>'500件商品'!P277</x:f>
        <x:v>是</x:v>
      </x:c>
      <x:c r="I277" s="26" t="n">
        <x:f>'500件商品'!N277</x:f>
        <x:v>31</x:v>
      </x:c>
      <x:c r="J277" s="26" t="n">
        <x:f>'500件商品'!O277</x:f>
        <x:v>36</x:v>
      </x:c>
      <x:c r="K277" s="26" t="n">
        <x:f>IF(H277="是",CEILING(I277/J277,1),0)</x:f>
        <x:v>1</x:v>
      </x:c>
      <x:c r="L277" s="26" t="n">
        <x:f>ROUND(I277*G277,0)</x:f>
        <x:v>40</x:v>
      </x:c>
      <x:c r="M277" s="26" t="n">
        <x:f>IF(H277="是",CEILING(L277/J277,1),0)</x:f>
        <x:v>2</x:v>
      </x:c>
      <x:c r="N277" s="26" t="n">
        <x:f>M277-K277</x:f>
        <x:v>1</x:v>
      </x:c>
      <x:c r="O277" s="24" t="str">
        <x:f>'500件商品'!Q277</x:f>
        <x:v>1區</x:v>
      </x:c>
      <x:c r="P277" s="26" t="n">
        <x:f>'500件商品'!R277</x:f>
        <x:v>29</x:v>
      </x:c>
      <x:c r="Q277" s="24" t="str">
        <x:f>IF(H277="否","非棧板管理",IF(AND(E277="是",N277&gt;0),"季節彈性前移區",IF(OR(C277="Cluster 3",D277&gt;=55),"近端低層棧板區",IF(C277="Cluster 2","中段大貨位",IF(C277="Cluster 4","遠端彈性儲位","中段棧板區")))))</x:f>
        <x:v>中段棧板區</x:v>
      </x:c>
      <x:c r="R277" s="24" t="str">
        <x:f>IF(AND(H277="是",E277="是",N277&gt;0),"是","否")</x:f>
        <x:v>否</x:v>
      </x:c>
      <x:c r="S277" s="24" t="str">
        <x:f>IF(H277="否","非本次棧板儲位分析對象",IF(R277="是","旺季前需前移並增加棧板位",IF(N277&gt;0,"需增加棧板位",IF(N277&lt;0,"可釋放部分棧板位","維持現況"))))</x:f>
        <x:v>需增加棧板位</x:v>
      </x:c>
    </x:row>
    <x:row r="278">
      <x:c r="A278" s="24" t="str">
        <x:f>'500件商品'!A278</x:f>
        <x:v>PX0274</x:v>
      </x:c>
      <x:c r="B278" s="24" t="str">
        <x:f>'500件商品'!B278</x:f>
        <x:v>雨衣組-補充包</x:v>
      </x:c>
      <x:c r="C278" s="24" t="str">
        <x:f>'500件商品'!D278</x:f>
        <x:v>Cluster 4</x:v>
      </x:c>
      <x:c r="D278" s="26" t="n">
        <x:f>'500件商品'!F278</x:f>
        <x:v>8</x:v>
      </x:c>
      <x:c r="E278" s="24" t="str">
        <x:f>'500件商品'!K278</x:f>
        <x:v>是</x:v>
      </x:c>
      <x:c r="F278" s="24" t="str">
        <x:f>'500件商品'!L278</x:f>
        <x:v>5-8月</x:v>
      </x:c>
      <x:c r="G278" s="28" t="n">
        <x:f>'500件商品'!M278</x:f>
        <x:v>3</x:v>
      </x:c>
      <x:c r="H278" s="24" t="str">
        <x:f>'500件商品'!P278</x:f>
        <x:v>是</x:v>
      </x:c>
      <x:c r="I278" s="26" t="n">
        <x:f>'500件商品'!N278</x:f>
        <x:v>54</x:v>
      </x:c>
      <x:c r="J278" s="26" t="n">
        <x:f>'500件商品'!O278</x:f>
        <x:v>30</x:v>
      </x:c>
      <x:c r="K278" s="26" t="n">
        <x:f>IF(H278="是",CEILING(I278/J278,1),0)</x:f>
        <x:v>2</x:v>
      </x:c>
      <x:c r="L278" s="26" t="n">
        <x:f>ROUND(I278*G278,0)</x:f>
        <x:v>162</x:v>
      </x:c>
      <x:c r="M278" s="26" t="n">
        <x:f>IF(H278="是",CEILING(L278/J278,1),0)</x:f>
        <x:v>6</x:v>
      </x:c>
      <x:c r="N278" s="26" t="n">
        <x:f>M278-K278</x:f>
        <x:v>4</x:v>
      </x:c>
      <x:c r="O278" s="24" t="str">
        <x:f>'500件商品'!Q278</x:f>
        <x:v>A區</x:v>
      </x:c>
      <x:c r="P278" s="26" t="n">
        <x:f>'500件商品'!R278</x:f>
        <x:v>23</x:v>
      </x:c>
      <x:c r="Q278" s="24" t="str">
        <x:f>IF(H278="否","非棧板管理",IF(AND(E278="是",N278&gt;0),"季節彈性前移區",IF(OR(C278="Cluster 3",D278&gt;=55),"近端低層棧板區",IF(C278="Cluster 2","中段大貨位",IF(C278="Cluster 4","遠端彈性儲位","中段棧板區")))))</x:f>
        <x:v>季節彈性前移區</x:v>
      </x:c>
      <x:c r="R278" s="24" t="str">
        <x:f>IF(AND(H278="是",E278="是",N278&gt;0),"是","否")</x:f>
        <x:v>是</x:v>
      </x:c>
      <x:c r="S278" s="24" t="str">
        <x:f>IF(H278="否","非本次棧板儲位分析對象",IF(R278="是","旺季前需前移並增加棧板位",IF(N278&gt;0,"需增加棧板位",IF(N278&lt;0,"可釋放部分棧板位","維持現況"))))</x:f>
        <x:v>旺季前需前移並增加棧板位</x:v>
      </x:c>
    </x:row>
    <x:row r="279">
      <x:c r="A279" s="24" t="str">
        <x:f>'500件商品'!A279</x:f>
        <x:v>PX0275</x:v>
      </x:c>
      <x:c r="B279" s="24" t="str">
        <x:f>'500件商品'!B279</x:f>
        <x:v>寵物尿布墊-家庭號</x:v>
      </x:c>
      <x:c r="C279" s="24" t="str">
        <x:f>'500件商品'!D279</x:f>
        <x:v>Cluster 2</x:v>
      </x:c>
      <x:c r="D279" s="26" t="n">
        <x:f>'500件商品'!F279</x:f>
        <x:v>88</x:v>
      </x:c>
      <x:c r="E279" s="24" t="str">
        <x:f>'500件商品'!K279</x:f>
        <x:v>否</x:v>
      </x:c>
      <x:c r="F279" s="24" t="str">
        <x:f>'500件商品'!L279</x:f>
      </x:c>
      <x:c r="G279" s="28" t="n">
        <x:f>'500件商品'!M279</x:f>
        <x:v>1</x:v>
      </x:c>
      <x:c r="H279" s="24" t="str">
        <x:f>'500件商品'!P279</x:f>
        <x:v>是</x:v>
      </x:c>
      <x:c r="I279" s="26" t="n">
        <x:f>'500件商品'!N279</x:f>
        <x:v>516</x:v>
      </x:c>
      <x:c r="J279" s="26" t="n">
        <x:f>'500件商品'!O279</x:f>
        <x:v>18</x:v>
      </x:c>
      <x:c r="K279" s="26" t="n">
        <x:f>IF(H279="是",CEILING(I279/J279,1),0)</x:f>
        <x:v>29</x:v>
      </x:c>
      <x:c r="L279" s="26" t="n">
        <x:f>ROUND(I279*G279,0)</x:f>
        <x:v>516</x:v>
      </x:c>
      <x:c r="M279" s="26" t="n">
        <x:f>IF(H279="是",CEILING(L279/J279,1),0)</x:f>
        <x:v>29</x:v>
      </x:c>
      <x:c r="N279" s="26" t="n">
        <x:f>M279-K279</x:f>
        <x:v>0</x:v>
      </x:c>
      <x:c r="O279" s="24" t="str">
        <x:f>'500件商品'!Q279</x:f>
        <x:v>3區</x:v>
      </x:c>
      <x:c r="P279" s="26" t="n">
        <x:f>'500件商品'!R279</x:f>
        <x:v>36</x:v>
      </x:c>
      <x:c r="Q279" s="24" t="str">
        <x:f>IF(H279="否","非棧板管理",IF(AND(E279="是",N279&gt;0),"季節彈性前移區",IF(OR(C279="Cluster 3",D279&gt;=55),"近端低層棧板區",IF(C279="Cluster 2","中段大貨位",IF(C279="Cluster 4","遠端彈性儲位","中段棧板區")))))</x:f>
        <x:v>近端低層棧板區</x:v>
      </x:c>
      <x:c r="R279" s="24" t="str">
        <x:f>IF(AND(H279="是",E279="是",N279&gt;0),"是","否")</x:f>
        <x:v>否</x:v>
      </x:c>
      <x:c r="S279" s="24" t="str">
        <x:f>IF(H279="否","非本次棧板儲位分析對象",IF(R279="是","旺季前需前移並增加棧板位",IF(N279&gt;0,"需增加棧板位",IF(N279&lt;0,"可釋放部分棧板位","維持現況"))))</x:f>
        <x:v>維持現況</x:v>
      </x:c>
    </x:row>
    <x:row r="280">
      <x:c r="A280" s="24" t="str">
        <x:f>'500件商品'!A280</x:f>
        <x:v>PX0276</x:v>
      </x:c>
      <x:c r="B280" s="24" t="str">
        <x:f>'500件商品'!B280</x:f>
        <x:v>漂白水-促銷組</x:v>
      </x:c>
      <x:c r="C280" s="24" t="str">
        <x:f>'500件商品'!D280</x:f>
        <x:v>Cluster 1</x:v>
      </x:c>
      <x:c r="D280" s="26" t="n">
        <x:f>'500件商品'!F280</x:f>
        <x:v>12</x:v>
      </x:c>
      <x:c r="E280" s="24" t="str">
        <x:f>'500件商品'!K280</x:f>
        <x:v>否</x:v>
      </x:c>
      <x:c r="F280" s="24" t="str">
        <x:f>'500件商品'!L280</x:f>
      </x:c>
      <x:c r="G280" s="28" t="n">
        <x:f>'500件商品'!M280</x:f>
        <x:v>1.3</x:v>
      </x:c>
      <x:c r="H280" s="24" t="str">
        <x:f>'500件商品'!P280</x:f>
        <x:v>是</x:v>
      </x:c>
      <x:c r="I280" s="26" t="n">
        <x:f>'500件商品'!N280</x:f>
        <x:v>92</x:v>
      </x:c>
      <x:c r="J280" s="26" t="n">
        <x:f>'500件商品'!O280</x:f>
        <x:v>48</x:v>
      </x:c>
      <x:c r="K280" s="26" t="n">
        <x:f>IF(H280="是",CEILING(I280/J280,1),0)</x:f>
        <x:v>2</x:v>
      </x:c>
      <x:c r="L280" s="26" t="n">
        <x:f>ROUND(I280*G280,0)</x:f>
        <x:v>120</x:v>
      </x:c>
      <x:c r="M280" s="26" t="n">
        <x:f>IF(H280="是",CEILING(L280/J280,1),0)</x:f>
        <x:v>3</x:v>
      </x:c>
      <x:c r="N280" s="26" t="n">
        <x:f>M280-K280</x:f>
        <x:v>1</x:v>
      </x:c>
      <x:c r="O280" s="24" t="str">
        <x:f>'500件商品'!Q280</x:f>
        <x:v>K區</x:v>
      </x:c>
      <x:c r="P280" s="26" t="n">
        <x:f>'500件商品'!R280</x:f>
        <x:v>45</x:v>
      </x:c>
      <x:c r="Q280" s="24" t="str">
        <x:f>IF(H280="否","非棧板管理",IF(AND(E280="是",N280&gt;0),"季節彈性前移區",IF(OR(C280="Cluster 3",D280&gt;=55),"近端低層棧板區",IF(C280="Cluster 2","中段大貨位",IF(C280="Cluster 4","遠端彈性儲位","中段棧板區")))))</x:f>
        <x:v>中段棧板區</x:v>
      </x:c>
      <x:c r="R280" s="24" t="str">
        <x:f>IF(AND(H280="是",E280="是",N280&gt;0),"是","否")</x:f>
        <x:v>否</x:v>
      </x:c>
      <x:c r="S280" s="24" t="str">
        <x:f>IF(H280="否","非本次棧板儲位分析對象",IF(R280="是","旺季前需前移並增加棧板位",IF(N280&gt;0,"需增加棧板位",IF(N280&lt;0,"可釋放部分棧板位","維持現況"))))</x:f>
        <x:v>需增加棧板位</x:v>
      </x:c>
    </x:row>
    <x:row r="281">
      <x:c r="A281" s="24" t="str">
        <x:f>'500件商品'!A281</x:f>
        <x:v>PX0277</x:v>
      </x:c>
      <x:c r="B281" s="24" t="str">
        <x:f>'500件商品'!B281</x:f>
        <x:v>果汁飲料整箱-家庭號</x:v>
      </x:c>
      <x:c r="C281" s="24" t="str">
        <x:f>'500件商品'!D281</x:f>
        <x:v>Cluster 1</x:v>
      </x:c>
      <x:c r="D281" s="26" t="n">
        <x:f>'500件商品'!F281</x:f>
        <x:v>16</x:v>
      </x:c>
      <x:c r="E281" s="24" t="str">
        <x:f>'500件商品'!K281</x:f>
        <x:v>否</x:v>
      </x:c>
      <x:c r="F281" s="24" t="str">
        <x:f>'500件商品'!L281</x:f>
      </x:c>
      <x:c r="G281" s="28" t="n">
        <x:f>'500件商品'!M281</x:f>
        <x:v>1.3</x:v>
      </x:c>
      <x:c r="H281" s="24" t="str">
        <x:f>'500件商品'!P281</x:f>
        <x:v>是</x:v>
      </x:c>
      <x:c r="I281" s="26" t="n">
        <x:f>'500件商品'!N281</x:f>
        <x:v>137</x:v>
      </x:c>
      <x:c r="J281" s="26" t="n">
        <x:f>'500件商品'!O281</x:f>
        <x:v>32</x:v>
      </x:c>
      <x:c r="K281" s="26" t="n">
        <x:f>IF(H281="是",CEILING(I281/J281,1),0)</x:f>
        <x:v>5</x:v>
      </x:c>
      <x:c r="L281" s="26" t="n">
        <x:f>ROUND(I281*G281,0)</x:f>
        <x:v>178</x:v>
      </x:c>
      <x:c r="M281" s="26" t="n">
        <x:f>IF(H281="是",CEILING(L281/J281,1),0)</x:f>
        <x:v>6</x:v>
      </x:c>
      <x:c r="N281" s="26" t="n">
        <x:f>M281-K281</x:f>
        <x:v>1</x:v>
      </x:c>
      <x:c r="O281" s="24" t="str">
        <x:f>'500件商品'!Q281</x:f>
        <x:v>K區</x:v>
      </x:c>
      <x:c r="P281" s="26" t="n">
        <x:f>'500件商品'!R281</x:f>
        <x:v>58</x:v>
      </x:c>
      <x:c r="Q281" s="24" t="str">
        <x:f>IF(H281="否","非棧板管理",IF(AND(E281="是",N281&gt;0),"季節彈性前移區",IF(OR(C281="Cluster 3",D281&gt;=55),"近端低層棧板區",IF(C281="Cluster 2","中段大貨位",IF(C281="Cluster 4","遠端彈性儲位","中段棧板區")))))</x:f>
        <x:v>中段棧板區</x:v>
      </x:c>
      <x:c r="R281" s="24" t="str">
        <x:f>IF(AND(H281="是",E281="是",N281&gt;0),"是","否")</x:f>
        <x:v>否</x:v>
      </x:c>
      <x:c r="S281" s="24" t="str">
        <x:f>IF(H281="否","非本次棧板儲位分析對象",IF(R281="是","旺季前需前移並增加棧板位",IF(N281&gt;0,"需增加棧板位",IF(N281&lt;0,"可釋放部分棧板位","維持現況"))))</x:f>
        <x:v>需增加棧板位</x:v>
      </x:c>
    </x:row>
    <x:row r="282">
      <x:c r="A282" s="24" t="str">
        <x:f>'500件商品'!A282</x:f>
        <x:v>PX0278</x:v>
      </x:c>
      <x:c r="B282" s="24" t="str">
        <x:f>'500件商品'!B282</x:f>
        <x:v>洗髮精-標準箱</x:v>
      </x:c>
      <x:c r="C282" s="24" t="str">
        <x:f>'500件商品'!D282</x:f>
        <x:v>Cluster 1</x:v>
      </x:c>
      <x:c r="D282" s="26" t="n">
        <x:f>'500件商品'!F282</x:f>
        <x:v>11</x:v>
      </x:c>
      <x:c r="E282" s="24" t="str">
        <x:f>'500件商品'!K282</x:f>
        <x:v>否</x:v>
      </x:c>
      <x:c r="F282" s="24" t="str">
        <x:f>'500件商品'!L282</x:f>
      </x:c>
      <x:c r="G282" s="28" t="n">
        <x:f>'500件商品'!M282</x:f>
        <x:v>1</x:v>
      </x:c>
      <x:c r="H282" s="24" t="str">
        <x:f>'500件商品'!P282</x:f>
        <x:v>是</x:v>
      </x:c>
      <x:c r="I282" s="26" t="n">
        <x:f>'500件商品'!N282</x:f>
        <x:v>65</x:v>
      </x:c>
      <x:c r="J282" s="26" t="n">
        <x:f>'500件商品'!O282</x:f>
        <x:v>48</x:v>
      </x:c>
      <x:c r="K282" s="26" t="n">
        <x:f>IF(H282="是",CEILING(I282/J282,1),0)</x:f>
        <x:v>2</x:v>
      </x:c>
      <x:c r="L282" s="26" t="n">
        <x:f>ROUND(I282*G282,0)</x:f>
        <x:v>65</x:v>
      </x:c>
      <x:c r="M282" s="26" t="n">
        <x:f>IF(H282="是",CEILING(L282/J282,1),0)</x:f>
        <x:v>2</x:v>
      </x:c>
      <x:c r="N282" s="26" t="n">
        <x:f>M282-K282</x:f>
        <x:v>0</x:v>
      </x:c>
      <x:c r="O282" s="24" t="str">
        <x:f>'500件商品'!Q282</x:f>
        <x:v>3區</x:v>
      </x:c>
      <x:c r="P282" s="26" t="n">
        <x:f>'500件商品'!R282</x:f>
        <x:v>44</x:v>
      </x:c>
      <x:c r="Q282" s="24" t="str">
        <x:f>IF(H282="否","非棧板管理",IF(AND(E282="是",N282&gt;0),"季節彈性前移區",IF(OR(C282="Cluster 3",D282&gt;=55),"近端低層棧板區",IF(C282="Cluster 2","中段大貨位",IF(C282="Cluster 4","遠端彈性儲位","中段棧板區")))))</x:f>
        <x:v>中段棧板區</x:v>
      </x:c>
      <x:c r="R282" s="24" t="str">
        <x:f>IF(AND(H282="是",E282="是",N282&gt;0),"是","否")</x:f>
        <x:v>否</x:v>
      </x:c>
      <x:c r="S282" s="24" t="str">
        <x:f>IF(H282="否","非本次棧板儲位分析對象",IF(R282="是","旺季前需前移並增加棧板位",IF(N282&gt;0,"需增加棧板位",IF(N282&lt;0,"可釋放部分棧板位","維持現況"))))</x:f>
        <x:v>維持現況</x:v>
      </x:c>
    </x:row>
    <x:row r="283">
      <x:c r="A283" s="24" t="str">
        <x:f>'500件商品'!A283</x:f>
        <x:v>PX0279</x:v>
      </x:c>
      <x:c r="B283" s="24" t="str">
        <x:f>'500件商品'!B283</x:f>
        <x:v>衣架組-小包裝</x:v>
      </x:c>
      <x:c r="C283" s="24" t="str">
        <x:f>'500件商品'!D283</x:f>
        <x:v>Cluster 1</x:v>
      </x:c>
      <x:c r="D283" s="26" t="n">
        <x:f>'500件商品'!F283</x:f>
        <x:v>23</x:v>
      </x:c>
      <x:c r="E283" s="24" t="str">
        <x:f>'500件商品'!K283</x:f>
        <x:v>否</x:v>
      </x:c>
      <x:c r="F283" s="24" t="str">
        <x:f>'500件商品'!L283</x:f>
      </x:c>
      <x:c r="G283" s="28" t="n">
        <x:f>'500件商品'!M283</x:f>
        <x:v>1</x:v>
      </x:c>
      <x:c r="H283" s="24" t="str">
        <x:f>'500件商品'!P283</x:f>
        <x:v>否</x:v>
      </x:c>
      <x:c r="I283" s="26" t="n">
        <x:f>'500件商品'!N283</x:f>
        <x:v>104</x:v>
      </x:c>
      <x:c r="J283" s="26" t="str">
        <x:f>'500件商品'!O283</x:f>
      </x:c>
      <x:c r="K283" s="26" t="n">
        <x:f>IF(H283="是",CEILING(I283/J283,1),0)</x:f>
        <x:v>0</x:v>
      </x:c>
      <x:c r="L283" s="26" t="n">
        <x:f>ROUND(I283*G283,0)</x:f>
        <x:v>104</x:v>
      </x:c>
      <x:c r="M283" s="26" t="n">
        <x:f>IF(H283="是",CEILING(L283/J283,1),0)</x:f>
        <x:v>0</x:v>
      </x:c>
      <x:c r="N283" s="26" t="n">
        <x:f>M283-K283</x:f>
        <x:v>0</x:v>
      </x:c>
      <x:c r="O283" s="24" t="str">
        <x:f>'500件商品'!Q283</x:f>
        <x:v>3區</x:v>
      </x:c>
      <x:c r="P283" s="26" t="n">
        <x:f>'500件商品'!R283</x:f>
        <x:v>34</x:v>
      </x:c>
      <x:c r="Q283" s="24" t="str">
        <x:f>IF(H283="否","非棧板管理",IF(AND(E283="是",N283&gt;0),"季節彈性前移區",IF(OR(C283="Cluster 3",D283&gt;=55),"近端低層棧板區",IF(C283="Cluster 2","中段大貨位",IF(C283="Cluster 4","遠端彈性儲位","中段棧板區")))))</x:f>
        <x:v>非棧板管理</x:v>
      </x:c>
      <x:c r="R283" s="24" t="str">
        <x:f>IF(AND(H283="是",E283="是",N283&gt;0),"是","否")</x:f>
        <x:v>否</x:v>
      </x:c>
      <x:c r="S283" s="24" t="str">
        <x:f>IF(H283="否","非本次棧板儲位分析對象",IF(R283="是","旺季前需前移並增加棧板位",IF(N283&gt;0,"需增加棧板位",IF(N283&lt;0,"可釋放部分棧板位","維持現況"))))</x:f>
        <x:v>非本次棧板儲位分析對象</x:v>
      </x:c>
    </x:row>
    <x:row r="284">
      <x:c r="A284" s="24" t="str">
        <x:f>'500件商品'!A284</x:f>
        <x:v>PX0280</x:v>
      </x:c>
      <x:c r="B284" s="24" t="str">
        <x:f>'500件商品'!B284</x:f>
        <x:v>浴廁清潔劑-補充包</x:v>
      </x:c>
      <x:c r="C284" s="24" t="str">
        <x:f>'500件商品'!D284</x:f>
        <x:v>Cluster 1</x:v>
      </x:c>
      <x:c r="D284" s="26" t="n">
        <x:f>'500件商品'!F284</x:f>
        <x:v>8</x:v>
      </x:c>
      <x:c r="E284" s="24" t="str">
        <x:f>'500件商品'!K284</x:f>
        <x:v>否</x:v>
      </x:c>
      <x:c r="F284" s="24" t="str">
        <x:f>'500件商品'!L284</x:f>
      </x:c>
      <x:c r="G284" s="28" t="n">
        <x:f>'500件商品'!M284</x:f>
        <x:v>1</x:v>
      </x:c>
      <x:c r="H284" s="24" t="str">
        <x:f>'500件商品'!P284</x:f>
        <x:v>是</x:v>
      </x:c>
      <x:c r="I284" s="26" t="n">
        <x:f>'500件商品'!N284</x:f>
        <x:v>65</x:v>
      </x:c>
      <x:c r="J284" s="26" t="n">
        <x:f>'500件商品'!O284</x:f>
        <x:v>48</x:v>
      </x:c>
      <x:c r="K284" s="26" t="n">
        <x:f>IF(H284="是",CEILING(I284/J284,1),0)</x:f>
        <x:v>2</x:v>
      </x:c>
      <x:c r="L284" s="26" t="n">
        <x:f>ROUND(I284*G284,0)</x:f>
        <x:v>65</x:v>
      </x:c>
      <x:c r="M284" s="26" t="n">
        <x:f>IF(H284="是",CEILING(L284/J284,1),0)</x:f>
        <x:v>2</x:v>
      </x:c>
      <x:c r="N284" s="26" t="n">
        <x:f>M284-K284</x:f>
        <x:v>0</x:v>
      </x:c>
      <x:c r="O284" s="24" t="str">
        <x:f>'500件商品'!Q284</x:f>
        <x:v>1區</x:v>
      </x:c>
      <x:c r="P284" s="26" t="n">
        <x:f>'500件商品'!R284</x:f>
        <x:v>26</x:v>
      </x:c>
      <x:c r="Q284" s="24" t="str">
        <x:f>IF(H284="否","非棧板管理",IF(AND(E284="是",N284&gt;0),"季節彈性前移區",IF(OR(C284="Cluster 3",D284&gt;=55),"近端低層棧板區",IF(C284="Cluster 2","中段大貨位",IF(C284="Cluster 4","遠端彈性儲位","中段棧板區")))))</x:f>
        <x:v>中段棧板區</x:v>
      </x:c>
      <x:c r="R284" s="24" t="str">
        <x:f>IF(AND(H284="是",E284="是",N284&gt;0),"是","否")</x:f>
        <x:v>否</x:v>
      </x:c>
      <x:c r="S284" s="24" t="str">
        <x:f>IF(H284="否","非本次棧板儲位分析對象",IF(R284="是","旺季前需前移並增加棧板位",IF(N284&gt;0,"需增加棧板位",IF(N284&lt;0,"可釋放部分棧板位","維持現況"))))</x:f>
        <x:v>維持現況</x:v>
      </x:c>
    </x:row>
    <x:row r="285">
      <x:c r="A285" s="24" t="str">
        <x:f>'500件商品'!A285</x:f>
        <x:v>PX0281</x:v>
      </x:c>
      <x:c r="B285" s="24" t="str">
        <x:f>'500件商品'!B285</x:f>
        <x:v>寵物飼料5kg-促銷組</x:v>
      </x:c>
      <x:c r="C285" s="24" t="str">
        <x:f>'500件商品'!D285</x:f>
        <x:v>Cluster 2</x:v>
      </x:c>
      <x:c r="D285" s="26" t="n">
        <x:f>'500件商品'!F285</x:f>
        <x:v>37</x:v>
      </x:c>
      <x:c r="E285" s="24" t="str">
        <x:f>'500件商品'!K285</x:f>
        <x:v>否</x:v>
      </x:c>
      <x:c r="F285" s="24" t="str">
        <x:f>'500件商品'!L285</x:f>
      </x:c>
      <x:c r="G285" s="28" t="n">
        <x:f>'500件商品'!M285</x:f>
        <x:v>1.1</x:v>
      </x:c>
      <x:c r="H285" s="24" t="str">
        <x:f>'500件商品'!P285</x:f>
        <x:v>是</x:v>
      </x:c>
      <x:c r="I285" s="26" t="n">
        <x:f>'500件商品'!N285</x:f>
        <x:v>262</x:v>
      </x:c>
      <x:c r="J285" s="26" t="n">
        <x:f>'500件商品'!O285</x:f>
        <x:v>30</x:v>
      </x:c>
      <x:c r="K285" s="26" t="n">
        <x:f>IF(H285="是",CEILING(I285/J285,1),0)</x:f>
        <x:v>9</x:v>
      </x:c>
      <x:c r="L285" s="26" t="n">
        <x:f>ROUND(I285*G285,0)</x:f>
        <x:v>288</x:v>
      </x:c>
      <x:c r="M285" s="26" t="n">
        <x:f>IF(H285="是",CEILING(L285/J285,1),0)</x:f>
        <x:v>10</x:v>
      </x:c>
      <x:c r="N285" s="26" t="n">
        <x:f>M285-K285</x:f>
        <x:v>1</x:v>
      </x:c>
      <x:c r="O285" s="24" t="str">
        <x:f>'500件商品'!Q285</x:f>
        <x:v>遠端區</x:v>
      </x:c>
      <x:c r="P285" s="26" t="n">
        <x:f>'500件商品'!R285</x:f>
        <x:v>60</x:v>
      </x:c>
      <x:c r="Q285" s="24" t="str">
        <x:f>IF(H285="否","非棧板管理",IF(AND(E285="是",N285&gt;0),"季節彈性前移區",IF(OR(C285="Cluster 3",D285&gt;=55),"近端低層棧板區",IF(C285="Cluster 2","中段大貨位",IF(C285="Cluster 4","遠端彈性儲位","中段棧板區")))))</x:f>
        <x:v>中段大貨位</x:v>
      </x:c>
      <x:c r="R285" s="24" t="str">
        <x:f>IF(AND(H285="是",E285="是",N285&gt;0),"是","否")</x:f>
        <x:v>否</x:v>
      </x:c>
      <x:c r="S285" s="24" t="str">
        <x:f>IF(H285="否","非本次棧板儲位分析對象",IF(R285="是","旺季前需前移並增加棧板位",IF(N285&gt;0,"需增加棧板位",IF(N285&lt;0,"可釋放部分棧板位","維持現況"))))</x:f>
        <x:v>需增加棧板位</x:v>
      </x:c>
    </x:row>
    <x:row r="286">
      <x:c r="A286" s="24" t="str">
        <x:f>'500件商品'!A286</x:f>
        <x:v>PX0282</x:v>
      </x:c>
      <x:c r="B286" s="24" t="str">
        <x:f>'500件商品'!B286</x:f>
        <x:v>暖暖包-標準箱</x:v>
      </x:c>
      <x:c r="C286" s="24" t="str">
        <x:f>'500件商品'!D286</x:f>
        <x:v>Cluster 4</x:v>
      </x:c>
      <x:c r="D286" s="26" t="n">
        <x:f>'500件商品'!F286</x:f>
        <x:v>78</x:v>
      </x:c>
      <x:c r="E286" s="24" t="str">
        <x:f>'500件商品'!K286</x:f>
        <x:v>是</x:v>
      </x:c>
      <x:c r="F286" s="24" t="str">
        <x:f>'500件商品'!L286</x:f>
        <x:v>11-2月</x:v>
      </x:c>
      <x:c r="G286" s="28" t="n">
        <x:f>'500件商品'!M286</x:f>
        <x:v>2</x:v>
      </x:c>
      <x:c r="H286" s="24" t="str">
        <x:f>'500件商品'!P286</x:f>
        <x:v>是</x:v>
      </x:c>
      <x:c r="I286" s="26" t="n">
        <x:f>'500件商品'!N286</x:f>
        <x:v>281</x:v>
      </x:c>
      <x:c r="J286" s="26" t="n">
        <x:f>'500件商品'!O286</x:f>
        <x:v>60</x:v>
      </x:c>
      <x:c r="K286" s="26" t="n">
        <x:f>IF(H286="是",CEILING(I286/J286,1),0)</x:f>
        <x:v>5</x:v>
      </x:c>
      <x:c r="L286" s="26" t="n">
        <x:f>ROUND(I286*G286,0)</x:f>
        <x:v>562</x:v>
      </x:c>
      <x:c r="M286" s="26" t="n">
        <x:f>IF(H286="是",CEILING(L286/J286,1),0)</x:f>
        <x:v>10</x:v>
      </x:c>
      <x:c r="N286" s="26" t="n">
        <x:f>M286-K286</x:f>
        <x:v>5</x:v>
      </x:c>
      <x:c r="O286" s="24" t="str">
        <x:f>'500件商品'!Q286</x:f>
        <x:v>3區</x:v>
      </x:c>
      <x:c r="P286" s="26" t="n">
        <x:f>'500件商品'!R286</x:f>
        <x:v>35</x:v>
      </x:c>
      <x:c r="Q286" s="24" t="str">
        <x:f>IF(H286="否","非棧板管理",IF(AND(E286="是",N286&gt;0),"季節彈性前移區",IF(OR(C286="Cluster 3",D286&gt;=55),"近端低層棧板區",IF(C286="Cluster 2","中段大貨位",IF(C286="Cluster 4","遠端彈性儲位","中段棧板區")))))</x:f>
        <x:v>季節彈性前移區</x:v>
      </x:c>
      <x:c r="R286" s="24" t="str">
        <x:f>IF(AND(H286="是",E286="是",N286&gt;0),"是","否")</x:f>
        <x:v>是</x:v>
      </x:c>
      <x:c r="S286" s="24" t="str">
        <x:f>IF(H286="否","非本次棧板儲位分析對象",IF(R286="是","旺季前需前移並增加棧板位",IF(N286&gt;0,"需增加棧板位",IF(N286&lt;0,"可釋放部分棧板位","維持現況"))))</x:f>
        <x:v>旺季前需前移並增加棧板位</x:v>
      </x:c>
    </x:row>
    <x:row r="287">
      <x:c r="A287" s="24" t="str">
        <x:f>'500件商品'!A287</x:f>
        <x:v>PX0283</x:v>
      </x:c>
      <x:c r="B287" s="24" t="str">
        <x:f>'500件商品'!B287</x:f>
        <x:v>口罩盒-小包裝</x:v>
      </x:c>
      <x:c r="C287" s="24" t="str">
        <x:f>'500件商品'!D287</x:f>
        <x:v>Cluster 4</x:v>
      </x:c>
      <x:c r="D287" s="26" t="n">
        <x:f>'500件商品'!F287</x:f>
        <x:v>9</x:v>
      </x:c>
      <x:c r="E287" s="24" t="str">
        <x:f>'500件商品'!K287</x:f>
        <x:v>是</x:v>
      </x:c>
      <x:c r="F287" s="24" t="str">
        <x:f>'500件商品'!L287</x:f>
        <x:v>旺季</x:v>
      </x:c>
      <x:c r="G287" s="28" t="n">
        <x:f>'500件商品'!M287</x:f>
        <x:v>2.5</x:v>
      </x:c>
      <x:c r="H287" s="24" t="str">
        <x:f>'500件商品'!P287</x:f>
        <x:v>否</x:v>
      </x:c>
      <x:c r="I287" s="26" t="n">
        <x:f>'500件商品'!N287</x:f>
        <x:v>88</x:v>
      </x:c>
      <x:c r="J287" s="26" t="str">
        <x:f>'500件商品'!O287</x:f>
      </x:c>
      <x:c r="K287" s="26" t="n">
        <x:f>IF(H287="是",CEILING(I287/J287,1),0)</x:f>
        <x:v>0</x:v>
      </x:c>
      <x:c r="L287" s="26" t="n">
        <x:f>ROUND(I287*G287,0)</x:f>
        <x:v>220</x:v>
      </x:c>
      <x:c r="M287" s="26" t="n">
        <x:f>IF(H287="是",CEILING(L287/J287,1),0)</x:f>
        <x:v>0</x:v>
      </x:c>
      <x:c r="N287" s="26" t="n">
        <x:f>M287-K287</x:f>
        <x:v>0</x:v>
      </x:c>
      <x:c r="O287" s="24" t="str">
        <x:f>'500件商品'!Q287</x:f>
        <x:v>1區</x:v>
      </x:c>
      <x:c r="P287" s="26" t="n">
        <x:f>'500件商品'!R287</x:f>
        <x:v>38</x:v>
      </x:c>
      <x:c r="Q287" s="24" t="str">
        <x:f>IF(H287="否","非棧板管理",IF(AND(E287="是",N287&gt;0),"季節彈性前移區",IF(OR(C287="Cluster 3",D287&gt;=55),"近端低層棧板區",IF(C287="Cluster 2","中段大貨位",IF(C287="Cluster 4","遠端彈性儲位","中段棧板區")))))</x:f>
        <x:v>非棧板管理</x:v>
      </x:c>
      <x:c r="R287" s="24" t="str">
        <x:f>IF(AND(H287="是",E287="是",N287&gt;0),"是","否")</x:f>
        <x:v>否</x:v>
      </x:c>
      <x:c r="S287" s="24" t="str">
        <x:f>IF(H287="否","非本次棧板儲位分析對象",IF(R287="是","旺季前需前移並增加棧板位",IF(N287&gt;0,"需增加棧板位",IF(N287&lt;0,"可釋放部分棧板位","維持現況"))))</x:f>
        <x:v>非本次棧板儲位分析對象</x:v>
      </x:c>
    </x:row>
    <x:row r="288">
      <x:c r="A288" s="24" t="str">
        <x:f>'500件商品'!A288</x:f>
        <x:v>PX0284</x:v>
      </x:c>
      <x:c r="B288" s="24" t="str">
        <x:f>'500件商品'!B288</x:f>
        <x:v>擦手紙箱-小包裝</x:v>
      </x:c>
      <x:c r="C288" s="24" t="str">
        <x:f>'500件商品'!D288</x:f>
        <x:v>Cluster 5</x:v>
      </x:c>
      <x:c r="D288" s="26" t="n">
        <x:f>'500件商品'!F288</x:f>
        <x:v>41</x:v>
      </x:c>
      <x:c r="E288" s="24" t="str">
        <x:f>'500件商品'!K288</x:f>
        <x:v>否</x:v>
      </x:c>
      <x:c r="F288" s="24" t="str">
        <x:f>'500件商品'!L288</x:f>
      </x:c>
      <x:c r="G288" s="28" t="n">
        <x:f>'500件商品'!M288</x:f>
        <x:v>1</x:v>
      </x:c>
      <x:c r="H288" s="24" t="str">
        <x:f>'500件商品'!P288</x:f>
        <x:v>是</x:v>
      </x:c>
      <x:c r="I288" s="26" t="n">
        <x:f>'500件商品'!N288</x:f>
        <x:v>168</x:v>
      </x:c>
      <x:c r="J288" s="26" t="n">
        <x:f>'500件商品'!O288</x:f>
        <x:v>60</x:v>
      </x:c>
      <x:c r="K288" s="26" t="n">
        <x:f>IF(H288="是",CEILING(I288/J288,1),0)</x:f>
        <x:v>3</x:v>
      </x:c>
      <x:c r="L288" s="26" t="n">
        <x:f>ROUND(I288*G288,0)</x:f>
        <x:v>168</x:v>
      </x:c>
      <x:c r="M288" s="26" t="n">
        <x:f>IF(H288="是",CEILING(L288/J288,1),0)</x:f>
        <x:v>3</x:v>
      </x:c>
      <x:c r="N288" s="26" t="n">
        <x:f>M288-K288</x:f>
        <x:v>0</x:v>
      </x:c>
      <x:c r="O288" s="24" t="str">
        <x:f>'500件商品'!Q288</x:f>
        <x:v>1區</x:v>
      </x:c>
      <x:c r="P288" s="26" t="n">
        <x:f>'500件商品'!R288</x:f>
        <x:v>21</x:v>
      </x:c>
      <x:c r="Q288" s="24" t="str">
        <x:f>IF(H288="否","非棧板管理",IF(AND(E288="是",N288&gt;0),"季節彈性前移區",IF(OR(C288="Cluster 3",D288&gt;=55),"近端低層棧板區",IF(C288="Cluster 2","中段大貨位",IF(C288="Cluster 4","遠端彈性儲位","中段棧板區")))))</x:f>
        <x:v>中段棧板區</x:v>
      </x:c>
      <x:c r="R288" s="24" t="str">
        <x:f>IF(AND(H288="是",E288="是",N288&gt;0),"是","否")</x:f>
        <x:v>否</x:v>
      </x:c>
      <x:c r="S288" s="24" t="str">
        <x:f>IF(H288="否","非本次棧板儲位分析對象",IF(R288="是","旺季前需前移並增加棧板位",IF(N288&gt;0,"需增加棧板位",IF(N288&lt;0,"可釋放部分棧板位","維持現況"))))</x:f>
        <x:v>維持現況</x:v>
      </x:c>
    </x:row>
    <x:row r="289">
      <x:c r="A289" s="24" t="str">
        <x:f>'500件商品'!A289</x:f>
        <x:v>PX0285</x:v>
      </x:c>
      <x:c r="B289" s="24" t="str">
        <x:f>'500件商品'!B289</x:f>
        <x:v>洗衣精補充包-箱裝</x:v>
      </x:c>
      <x:c r="C289" s="24" t="str">
        <x:f>'500件商品'!D289</x:f>
        <x:v>Cluster 1</x:v>
      </x:c>
      <x:c r="D289" s="26" t="n">
        <x:f>'500件商品'!F289</x:f>
        <x:v>11</x:v>
      </x:c>
      <x:c r="E289" s="24" t="str">
        <x:f>'500件商品'!K289</x:f>
        <x:v>否</x:v>
      </x:c>
      <x:c r="F289" s="24" t="str">
        <x:f>'500件商品'!L289</x:f>
      </x:c>
      <x:c r="G289" s="28" t="n">
        <x:f>'500件商品'!M289</x:f>
        <x:v>1.1</x:v>
      </x:c>
      <x:c r="H289" s="24" t="str">
        <x:f>'500件商品'!P289</x:f>
        <x:v>是</x:v>
      </x:c>
      <x:c r="I289" s="26" t="n">
        <x:f>'500件商品'!N289</x:f>
        <x:v>85</x:v>
      </x:c>
      <x:c r="J289" s="26" t="n">
        <x:f>'500件商品'!O289</x:f>
        <x:v>72</x:v>
      </x:c>
      <x:c r="K289" s="26" t="n">
        <x:f>IF(H289="是",CEILING(I289/J289,1),0)</x:f>
        <x:v>2</x:v>
      </x:c>
      <x:c r="L289" s="26" t="n">
        <x:f>ROUND(I289*G289,0)</x:f>
        <x:v>94</x:v>
      </x:c>
      <x:c r="M289" s="26" t="n">
        <x:f>IF(H289="是",CEILING(L289/J289,1),0)</x:f>
        <x:v>2</x:v>
      </x:c>
      <x:c r="N289" s="26" t="n">
        <x:f>M289-K289</x:f>
        <x:v>0</x:v>
      </x:c>
      <x:c r="O289" s="24" t="str">
        <x:f>'500件商品'!Q289</x:f>
        <x:v>1區</x:v>
      </x:c>
      <x:c r="P289" s="26" t="n">
        <x:f>'500件商品'!R289</x:f>
        <x:v>21</x:v>
      </x:c>
      <x:c r="Q289" s="24" t="str">
        <x:f>IF(H289="否","非棧板管理",IF(AND(E289="是",N289&gt;0),"季節彈性前移區",IF(OR(C289="Cluster 3",D289&gt;=55),"近端低層棧板區",IF(C289="Cluster 2","中段大貨位",IF(C289="Cluster 4","遠端彈性儲位","中段棧板區")))))</x:f>
        <x:v>中段棧板區</x:v>
      </x:c>
      <x:c r="R289" s="24" t="str">
        <x:f>IF(AND(H289="是",E289="是",N289&gt;0),"是","否")</x:f>
        <x:v>否</x:v>
      </x:c>
      <x:c r="S289" s="24" t="str">
        <x:f>IF(H289="否","非本次棧板儲位分析對象",IF(R289="是","旺季前需前移並增加棧板位",IF(N289&gt;0,"需增加棧板位",IF(N289&lt;0,"可釋放部分棧板位","維持現況"))))</x:f>
        <x:v>維持現況</x:v>
      </x:c>
    </x:row>
    <x:row r="290">
      <x:c r="A290" s="24" t="str">
        <x:f>'500件商品'!A290</x:f>
        <x:v>PX0286</x:v>
      </x:c>
      <x:c r="B290" s="24" t="str">
        <x:f>'500件商品'!B290</x:f>
        <x:v>果汁飲料整箱-箱裝</x:v>
      </x:c>
      <x:c r="C290" s="24" t="str">
        <x:f>'500件商品'!D290</x:f>
        <x:v>Cluster 2</x:v>
      </x:c>
      <x:c r="D290" s="26" t="n">
        <x:f>'500件商品'!F290</x:f>
        <x:v>50</x:v>
      </x:c>
      <x:c r="E290" s="24" t="str">
        <x:f>'500件商品'!K290</x:f>
        <x:v>否</x:v>
      </x:c>
      <x:c r="F290" s="24" t="str">
        <x:f>'500件商品'!L290</x:f>
      </x:c>
      <x:c r="G290" s="28" t="n">
        <x:f>'500件商品'!M290</x:f>
        <x:v>1.3</x:v>
      </x:c>
      <x:c r="H290" s="24" t="str">
        <x:f>'500件商品'!P290</x:f>
        <x:v>是</x:v>
      </x:c>
      <x:c r="I290" s="26" t="n">
        <x:f>'500件商品'!N290</x:f>
        <x:v>305</x:v>
      </x:c>
      <x:c r="J290" s="26" t="n">
        <x:f>'500件商品'!O290</x:f>
        <x:v>36</x:v>
      </x:c>
      <x:c r="K290" s="26" t="n">
        <x:f>IF(H290="是",CEILING(I290/J290,1),0)</x:f>
        <x:v>9</x:v>
      </x:c>
      <x:c r="L290" s="26" t="n">
        <x:f>ROUND(I290*G290,0)</x:f>
        <x:v>397</x:v>
      </x:c>
      <x:c r="M290" s="26" t="n">
        <x:f>IF(H290="是",CEILING(L290/J290,1),0)</x:f>
        <x:v>12</x:v>
      </x:c>
      <x:c r="N290" s="26" t="n">
        <x:f>M290-K290</x:f>
        <x:v>3</x:v>
      </x:c>
      <x:c r="O290" s="24" t="str">
        <x:f>'500件商品'!Q290</x:f>
        <x:v>A區</x:v>
      </x:c>
      <x:c r="P290" s="26" t="n">
        <x:f>'500件商品'!R290</x:f>
        <x:v>28</x:v>
      </x:c>
      <x:c r="Q290" s="24" t="str">
        <x:f>IF(H290="否","非棧板管理",IF(AND(E290="是",N290&gt;0),"季節彈性前移區",IF(OR(C290="Cluster 3",D290&gt;=55),"近端低層棧板區",IF(C290="Cluster 2","中段大貨位",IF(C290="Cluster 4","遠端彈性儲位","中段棧板區")))))</x:f>
        <x:v>中段大貨位</x:v>
      </x:c>
      <x:c r="R290" s="24" t="str">
        <x:f>IF(AND(H290="是",E290="是",N290&gt;0),"是","否")</x:f>
        <x:v>否</x:v>
      </x:c>
      <x:c r="S290" s="24" t="str">
        <x:f>IF(H290="否","非本次棧板儲位分析對象",IF(R290="是","旺季前需前移並增加棧板位",IF(N290&gt;0,"需增加棧板位",IF(N290&lt;0,"可釋放部分棧板位","維持現況"))))</x:f>
        <x:v>需增加棧板位</x:v>
      </x:c>
    </x:row>
    <x:row r="291">
      <x:c r="A291" s="24" t="str">
        <x:f>'500件商品'!A291</x:f>
        <x:v>PX0287</x:v>
      </x:c>
      <x:c r="B291" s="24" t="str">
        <x:f>'500件商品'!B291</x:f>
        <x:v>束帶組-補充包</x:v>
      </x:c>
      <x:c r="C291" s="24" t="str">
        <x:f>'500件商品'!D291</x:f>
        <x:v>Cluster 5</x:v>
      </x:c>
      <x:c r="D291" s="26" t="n">
        <x:f>'500件商品'!F291</x:f>
        <x:v>25</x:v>
      </x:c>
      <x:c r="E291" s="24" t="str">
        <x:f>'500件商品'!K291</x:f>
        <x:v>否</x:v>
      </x:c>
      <x:c r="F291" s="24" t="str">
        <x:f>'500件商品'!L291</x:f>
      </x:c>
      <x:c r="G291" s="28" t="n">
        <x:f>'500件商品'!M291</x:f>
        <x:v>1</x:v>
      </x:c>
      <x:c r="H291" s="24" t="str">
        <x:f>'500件商品'!P291</x:f>
        <x:v>否</x:v>
      </x:c>
      <x:c r="I291" s="26" t="n">
        <x:f>'500件商品'!N291</x:f>
        <x:v>126</x:v>
      </x:c>
      <x:c r="J291" s="26" t="str">
        <x:f>'500件商品'!O291</x:f>
      </x:c>
      <x:c r="K291" s="26" t="n">
        <x:f>IF(H291="是",CEILING(I291/J291,1),0)</x:f>
        <x:v>0</x:v>
      </x:c>
      <x:c r="L291" s="26" t="n">
        <x:f>ROUND(I291*G291,0)</x:f>
        <x:v>126</x:v>
      </x:c>
      <x:c r="M291" s="26" t="n">
        <x:f>IF(H291="是",CEILING(L291/J291,1),0)</x:f>
        <x:v>0</x:v>
      </x:c>
      <x:c r="N291" s="26" t="n">
        <x:f>M291-K291</x:f>
        <x:v>0</x:v>
      </x:c>
      <x:c r="O291" s="24" t="str">
        <x:f>'500件商品'!Q291</x:f>
        <x:v>遠端區</x:v>
      </x:c>
      <x:c r="P291" s="26" t="n">
        <x:f>'500件商品'!R291</x:f>
        <x:v>64</x:v>
      </x:c>
      <x:c r="Q291" s="24" t="str">
        <x:f>IF(H291="否","非棧板管理",IF(AND(E291="是",N291&gt;0),"季節彈性前移區",IF(OR(C291="Cluster 3",D291&gt;=55),"近端低層棧板區",IF(C291="Cluster 2","中段大貨位",IF(C291="Cluster 4","遠端彈性儲位","中段棧板區")))))</x:f>
        <x:v>非棧板管理</x:v>
      </x:c>
      <x:c r="R291" s="24" t="str">
        <x:f>IF(AND(H291="是",E291="是",N291&gt;0),"是","否")</x:f>
        <x:v>否</x:v>
      </x:c>
      <x:c r="S291" s="24" t="str">
        <x:f>IF(H291="否","非本次棧板儲位分析對象",IF(R291="是","旺季前需前移並增加棧板位",IF(N291&gt;0,"需增加棧板位",IF(N291&lt;0,"可釋放部分棧板位","維持現況"))))</x:f>
        <x:v>非本次棧板儲位分析對象</x:v>
      </x:c>
    </x:row>
    <x:row r="292">
      <x:c r="A292" s="24" t="str">
        <x:f>'500件商品'!A292</x:f>
        <x:v>PX0288</x:v>
      </x:c>
      <x:c r="B292" s="24" t="str">
        <x:f>'500件商品'!B292</x:f>
        <x:v>泡麵箱-小包裝</x:v>
      </x:c>
      <x:c r="C292" s="24" t="str">
        <x:f>'500件商品'!D292</x:f>
        <x:v>Cluster 5</x:v>
      </x:c>
      <x:c r="D292" s="26" t="n">
        <x:f>'500件商品'!F292</x:f>
        <x:v>35</x:v>
      </x:c>
      <x:c r="E292" s="24" t="str">
        <x:f>'500件商品'!K292</x:f>
        <x:v>否</x:v>
      </x:c>
      <x:c r="F292" s="24" t="str">
        <x:f>'500件商品'!L292</x:f>
      </x:c>
      <x:c r="G292" s="28" t="n">
        <x:f>'500件商品'!M292</x:f>
        <x:v>1</x:v>
      </x:c>
      <x:c r="H292" s="24" t="str">
        <x:f>'500件商品'!P292</x:f>
        <x:v>是</x:v>
      </x:c>
      <x:c r="I292" s="26" t="n">
        <x:f>'500件商品'!N292</x:f>
        <x:v>199</x:v>
      </x:c>
      <x:c r="J292" s="26" t="n">
        <x:f>'500件商品'!O292</x:f>
        <x:v>80</x:v>
      </x:c>
      <x:c r="K292" s="26" t="n">
        <x:f>IF(H292="是",CEILING(I292/J292,1),0)</x:f>
        <x:v>3</x:v>
      </x:c>
      <x:c r="L292" s="26" t="n">
        <x:f>ROUND(I292*G292,0)</x:f>
        <x:v>199</x:v>
      </x:c>
      <x:c r="M292" s="26" t="n">
        <x:f>IF(H292="是",CEILING(L292/J292,1),0)</x:f>
        <x:v>3</x:v>
      </x:c>
      <x:c r="N292" s="26" t="n">
        <x:f>M292-K292</x:f>
        <x:v>0</x:v>
      </x:c>
      <x:c r="O292" s="24" t="str">
        <x:f>'500件商品'!Q292</x:f>
        <x:v>遠端區</x:v>
      </x:c>
      <x:c r="P292" s="26" t="n">
        <x:f>'500件商品'!R292</x:f>
        <x:v>73</x:v>
      </x:c>
      <x:c r="Q292" s="24" t="str">
        <x:f>IF(H292="否","非棧板管理",IF(AND(E292="是",N292&gt;0),"季節彈性前移區",IF(OR(C292="Cluster 3",D292&gt;=55),"近端低層棧板區",IF(C292="Cluster 2","中段大貨位",IF(C292="Cluster 4","遠端彈性儲位","中段棧板區")))))</x:f>
        <x:v>中段棧板區</x:v>
      </x:c>
      <x:c r="R292" s="24" t="str">
        <x:f>IF(AND(H292="是",E292="是",N292&gt;0),"是","否")</x:f>
        <x:v>否</x:v>
      </x:c>
      <x:c r="S292" s="24" t="str">
        <x:f>IF(H292="否","非本次棧板儲位分析對象",IF(R292="是","旺季前需前移並增加棧板位",IF(N292&gt;0,"需增加棧板位",IF(N292&lt;0,"可釋放部分棧板位","維持現況"))))</x:f>
        <x:v>維持現況</x:v>
      </x:c>
    </x:row>
    <x:row r="293">
      <x:c r="A293" s="24" t="str">
        <x:f>'500件商品'!A293</x:f>
        <x:v>PX0289</x:v>
      </x:c>
      <x:c r="B293" s="24" t="str">
        <x:f>'500件商品'!B293</x:f>
        <x:v>乾電池組-補充包</x:v>
      </x:c>
      <x:c r="C293" s="24" t="str">
        <x:f>'500件商品'!D293</x:f>
        <x:v>Cluster 2</x:v>
      </x:c>
      <x:c r="D293" s="26" t="n">
        <x:f>'500件商品'!F293</x:f>
        <x:v>11</x:v>
      </x:c>
      <x:c r="E293" s="24" t="str">
        <x:f>'500件商品'!K293</x:f>
        <x:v>否</x:v>
      </x:c>
      <x:c r="F293" s="24" t="str">
        <x:f>'500件商品'!L293</x:f>
      </x:c>
      <x:c r="G293" s="28" t="n">
        <x:f>'500件商品'!M293</x:f>
        <x:v>1</x:v>
      </x:c>
      <x:c r="H293" s="24" t="str">
        <x:f>'500件商品'!P293</x:f>
        <x:v>是</x:v>
      </x:c>
      <x:c r="I293" s="26" t="n">
        <x:f>'500件商品'!N293</x:f>
        <x:v>40</x:v>
      </x:c>
      <x:c r="J293" s="26" t="n">
        <x:f>'500件商品'!O293</x:f>
        <x:v>30</x:v>
      </x:c>
      <x:c r="K293" s="26" t="n">
        <x:f>IF(H293="是",CEILING(I293/J293,1),0)</x:f>
        <x:v>2</x:v>
      </x:c>
      <x:c r="L293" s="26" t="n">
        <x:f>ROUND(I293*G293,0)</x:f>
        <x:v>40</x:v>
      </x:c>
      <x:c r="M293" s="26" t="n">
        <x:f>IF(H293="是",CEILING(L293/J293,1),0)</x:f>
        <x:v>2</x:v>
      </x:c>
      <x:c r="N293" s="26" t="n">
        <x:f>M293-K293</x:f>
        <x:v>0</x:v>
      </x:c>
      <x:c r="O293" s="24" t="str">
        <x:f>'500件商品'!Q293</x:f>
        <x:v>彈性區</x:v>
      </x:c>
      <x:c r="P293" s="26" t="n">
        <x:f>'500件商品'!R293</x:f>
        <x:v>53</x:v>
      </x:c>
      <x:c r="Q293" s="24" t="str">
        <x:f>IF(H293="否","非棧板管理",IF(AND(E293="是",N293&gt;0),"季節彈性前移區",IF(OR(C293="Cluster 3",D293&gt;=55),"近端低層棧板區",IF(C293="Cluster 2","中段大貨位",IF(C293="Cluster 4","遠端彈性儲位","中段棧板區")))))</x:f>
        <x:v>中段大貨位</x:v>
      </x:c>
      <x:c r="R293" s="24" t="str">
        <x:f>IF(AND(H293="是",E293="是",N293&gt;0),"是","否")</x:f>
        <x:v>否</x:v>
      </x:c>
      <x:c r="S293" s="24" t="str">
        <x:f>IF(H293="否","非本次棧板儲位分析對象",IF(R293="是","旺季前需前移並增加棧板位",IF(N293&gt;0,"需增加棧板位",IF(N293&lt;0,"可釋放部分棧板位","維持現況"))))</x:f>
        <x:v>維持現況</x:v>
      </x:c>
    </x:row>
    <x:row r="294">
      <x:c r="A294" s="24" t="str">
        <x:f>'500件商品'!A294</x:f>
        <x:v>PX0290</x:v>
      </x:c>
      <x:c r="B294" s="24" t="str">
        <x:f>'500件商品'!B294</x:f>
        <x:v>洗碗精-小包裝</x:v>
      </x:c>
      <x:c r="C294" s="24" t="str">
        <x:f>'500件商品'!D294</x:f>
        <x:v>Cluster 4</x:v>
      </x:c>
      <x:c r="D294" s="26" t="n">
        <x:f>'500件商品'!F294</x:f>
        <x:v>73</x:v>
      </x:c>
      <x:c r="E294" s="24" t="str">
        <x:f>'500件商品'!K294</x:f>
        <x:v>是</x:v>
      </x:c>
      <x:c r="F294" s="24" t="str">
        <x:f>'500件商品'!L294</x:f>
        <x:v>旺季</x:v>
      </x:c>
      <x:c r="G294" s="28" t="n">
        <x:f>'500件商品'!M294</x:f>
        <x:v>2</x:v>
      </x:c>
      <x:c r="H294" s="24" t="str">
        <x:f>'500件商品'!P294</x:f>
        <x:v>是</x:v>
      </x:c>
      <x:c r="I294" s="26" t="n">
        <x:f>'500件商品'!N294</x:f>
        <x:v>266</x:v>
      </x:c>
      <x:c r="J294" s="26" t="n">
        <x:f>'500件商品'!O294</x:f>
        <x:v>48</x:v>
      </x:c>
      <x:c r="K294" s="26" t="n">
        <x:f>IF(H294="是",CEILING(I294/J294,1),0)</x:f>
        <x:v>6</x:v>
      </x:c>
      <x:c r="L294" s="26" t="n">
        <x:f>ROUND(I294*G294,0)</x:f>
        <x:v>532</x:v>
      </x:c>
      <x:c r="M294" s="26" t="n">
        <x:f>IF(H294="是",CEILING(L294/J294,1),0)</x:f>
        <x:v>12</x:v>
      </x:c>
      <x:c r="N294" s="26" t="n">
        <x:f>M294-K294</x:f>
        <x:v>6</x:v>
      </x:c>
      <x:c r="O294" s="24" t="str">
        <x:f>'500件商品'!Q294</x:f>
        <x:v>彈性區</x:v>
      </x:c>
      <x:c r="P294" s="26" t="n">
        <x:f>'500件商品'!R294</x:f>
        <x:v>56</x:v>
      </x:c>
      <x:c r="Q294" s="24" t="str">
        <x:f>IF(H294="否","非棧板管理",IF(AND(E294="是",N294&gt;0),"季節彈性前移區",IF(OR(C294="Cluster 3",D294&gt;=55),"近端低層棧板區",IF(C294="Cluster 2","中段大貨位",IF(C294="Cluster 4","遠端彈性儲位","中段棧板區")))))</x:f>
        <x:v>季節彈性前移區</x:v>
      </x:c>
      <x:c r="R294" s="24" t="str">
        <x:f>IF(AND(H294="是",E294="是",N294&gt;0),"是","否")</x:f>
        <x:v>是</x:v>
      </x:c>
      <x:c r="S294" s="24" t="str">
        <x:f>IF(H294="否","非本次棧板儲位分析對象",IF(R294="是","旺季前需前移並增加棧板位",IF(N294&gt;0,"需增加棧板位",IF(N294&lt;0,"可釋放部分棧板位","維持現況"))))</x:f>
        <x:v>旺季前需前移並增加棧板位</x:v>
      </x:c>
    </x:row>
    <x:row r="295">
      <x:c r="A295" s="24" t="str">
        <x:f>'500件商品'!A295</x:f>
        <x:v>PX0291</x:v>
      </x:c>
      <x:c r="B295" s="24" t="str">
        <x:f>'500件商品'!B295</x:f>
        <x:v>寵物罐頭箱-標準箱</x:v>
      </x:c>
      <x:c r="C295" s="24" t="str">
        <x:f>'500件商品'!D295</x:f>
        <x:v>Cluster 5</x:v>
      </x:c>
      <x:c r="D295" s="26" t="n">
        <x:f>'500件商品'!F295</x:f>
        <x:v>16</x:v>
      </x:c>
      <x:c r="E295" s="24" t="str">
        <x:f>'500件商品'!K295</x:f>
        <x:v>否</x:v>
      </x:c>
      <x:c r="F295" s="24" t="str">
        <x:f>'500件商品'!L295</x:f>
      </x:c>
      <x:c r="G295" s="28" t="n">
        <x:f>'500件商品'!M295</x:f>
        <x:v>1.1</x:v>
      </x:c>
      <x:c r="H295" s="24" t="str">
        <x:f>'500件商品'!P295</x:f>
        <x:v>否</x:v>
      </x:c>
      <x:c r="I295" s="26" t="n">
        <x:f>'500件商品'!N295</x:f>
        <x:v>130</x:v>
      </x:c>
      <x:c r="J295" s="26" t="str">
        <x:f>'500件商品'!O295</x:f>
      </x:c>
      <x:c r="K295" s="26" t="n">
        <x:f>IF(H295="是",CEILING(I295/J295,1),0)</x:f>
        <x:v>0</x:v>
      </x:c>
      <x:c r="L295" s="26" t="n">
        <x:f>ROUND(I295*G295,0)</x:f>
        <x:v>143</x:v>
      </x:c>
      <x:c r="M295" s="26" t="n">
        <x:f>IF(H295="是",CEILING(L295/J295,1),0)</x:f>
        <x:v>0</x:v>
      </x:c>
      <x:c r="N295" s="26" t="n">
        <x:f>M295-K295</x:f>
        <x:v>0</x:v>
      </x:c>
      <x:c r="O295" s="24" t="str">
        <x:f>'500件商品'!Q295</x:f>
        <x:v>A區</x:v>
      </x:c>
      <x:c r="P295" s="26" t="n">
        <x:f>'500件商品'!R295</x:f>
        <x:v>19</x:v>
      </x:c>
      <x:c r="Q295" s="24" t="str">
        <x:f>IF(H295="否","非棧板管理",IF(AND(E295="是",N295&gt;0),"季節彈性前移區",IF(OR(C295="Cluster 3",D295&gt;=55),"近端低層棧板區",IF(C295="Cluster 2","中段大貨位",IF(C295="Cluster 4","遠端彈性儲位","中段棧板區")))))</x:f>
        <x:v>非棧板管理</x:v>
      </x:c>
      <x:c r="R295" s="24" t="str">
        <x:f>IF(AND(H295="是",E295="是",N295&gt;0),"是","否")</x:f>
        <x:v>否</x:v>
      </x:c>
      <x:c r="S295" s="24" t="str">
        <x:f>IF(H295="否","非本次棧板儲位分析對象",IF(R295="是","旺季前需前移並增加棧板位",IF(N295&gt;0,"需增加棧板位",IF(N295&lt;0,"可釋放部分棧板位","維持現況"))))</x:f>
        <x:v>非本次棧板儲位分析對象</x:v>
      </x:c>
    </x:row>
    <x:row r="296">
      <x:c r="A296" s="24" t="str">
        <x:f>'500件商品'!A296</x:f>
        <x:v>PX0292</x:v>
      </x:c>
      <x:c r="B296" s="24" t="str">
        <x:f>'500件商品'!B296</x:f>
        <x:v>茶飲料整箱-家庭號</x:v>
      </x:c>
      <x:c r="C296" s="24" t="str">
        <x:f>'500件商品'!D296</x:f>
        <x:v>Cluster 3</x:v>
      </x:c>
      <x:c r="D296" s="26" t="n">
        <x:f>'500件商品'!F296</x:f>
        <x:v>66</x:v>
      </x:c>
      <x:c r="E296" s="24" t="str">
        <x:f>'500件商品'!K296</x:f>
        <x:v>否</x:v>
      </x:c>
      <x:c r="F296" s="24" t="str">
        <x:f>'500件商品'!L296</x:f>
      </x:c>
      <x:c r="G296" s="28" t="n">
        <x:f>'500件商品'!M296</x:f>
        <x:v>1.2</x:v>
      </x:c>
      <x:c r="H296" s="24" t="str">
        <x:f>'500件商品'!P296</x:f>
        <x:v>是</x:v>
      </x:c>
      <x:c r="I296" s="26" t="n">
        <x:f>'500件商品'!N296</x:f>
        <x:v>447</x:v>
      </x:c>
      <x:c r="J296" s="26" t="n">
        <x:f>'500件商品'!O296</x:f>
        <x:v>36</x:v>
      </x:c>
      <x:c r="K296" s="26" t="n">
        <x:f>IF(H296="是",CEILING(I296/J296,1),0)</x:f>
        <x:v>13</x:v>
      </x:c>
      <x:c r="L296" s="26" t="n">
        <x:f>ROUND(I296*G296,0)</x:f>
        <x:v>536</x:v>
      </x:c>
      <x:c r="M296" s="26" t="n">
        <x:f>IF(H296="是",CEILING(L296/J296,1),0)</x:f>
        <x:v>15</x:v>
      </x:c>
      <x:c r="N296" s="26" t="n">
        <x:f>M296-K296</x:f>
        <x:v>2</x:v>
      </x:c>
      <x:c r="O296" s="24" t="str">
        <x:f>'500件商品'!Q296</x:f>
        <x:v>遠端區</x:v>
      </x:c>
      <x:c r="P296" s="26" t="n">
        <x:f>'500件商品'!R296</x:f>
        <x:v>75</x:v>
      </x:c>
      <x:c r="Q296" s="24" t="str">
        <x:f>IF(H296="否","非棧板管理",IF(AND(E296="是",N296&gt;0),"季節彈性前移區",IF(OR(C296="Cluster 3",D296&gt;=55),"近端低層棧板區",IF(C296="Cluster 2","中段大貨位",IF(C296="Cluster 4","遠端彈性儲位","中段棧板區")))))</x:f>
        <x:v>近端低層棧板區</x:v>
      </x:c>
      <x:c r="R296" s="24" t="str">
        <x:f>IF(AND(H296="是",E296="是",N296&gt;0),"是","否")</x:f>
        <x:v>否</x:v>
      </x:c>
      <x:c r="S296" s="24" t="str">
        <x:f>IF(H296="否","非本次棧板儲位分析對象",IF(R296="是","旺季前需前移並增加棧板位",IF(N296&gt;0,"需增加棧板位",IF(N296&lt;0,"可釋放部分棧板位","維持現況"))))</x:f>
        <x:v>需增加棧板位</x:v>
      </x:c>
    </x:row>
    <x:row r="297">
      <x:c r="A297" s="24" t="str">
        <x:f>'500件商品'!A297</x:f>
        <x:v>PX0293</x:v>
      </x:c>
      <x:c r="B297" s="24" t="str">
        <x:f>'500件商品'!B297</x:f>
        <x:v>收納箱-標準箱</x:v>
      </x:c>
      <x:c r="C297" s="24" t="str">
        <x:f>'500件商品'!D297</x:f>
        <x:v>Cluster 2</x:v>
      </x:c>
      <x:c r="D297" s="26" t="n">
        <x:f>'500件商品'!F297</x:f>
        <x:v>39</x:v>
      </x:c>
      <x:c r="E297" s="24" t="str">
        <x:f>'500件商品'!K297</x:f>
        <x:v>否</x:v>
      </x:c>
      <x:c r="F297" s="24" t="str">
        <x:f>'500件商品'!L297</x:f>
      </x:c>
      <x:c r="G297" s="28" t="n">
        <x:f>'500件商品'!M297</x:f>
        <x:v>1</x:v>
      </x:c>
      <x:c r="H297" s="24" t="str">
        <x:f>'500件商品'!P297</x:f>
        <x:v>是</x:v>
      </x:c>
      <x:c r="I297" s="26" t="n">
        <x:f>'500件商品'!N297</x:f>
        <x:v>303</x:v>
      </x:c>
      <x:c r="J297" s="26" t="n">
        <x:f>'500件商品'!O297</x:f>
        <x:v>20</x:v>
      </x:c>
      <x:c r="K297" s="26" t="n">
        <x:f>IF(H297="是",CEILING(I297/J297,1),0)</x:f>
        <x:v>16</x:v>
      </x:c>
      <x:c r="L297" s="26" t="n">
        <x:f>ROUND(I297*G297,0)</x:f>
        <x:v>303</x:v>
      </x:c>
      <x:c r="M297" s="26" t="n">
        <x:f>IF(H297="是",CEILING(L297/J297,1),0)</x:f>
        <x:v>16</x:v>
      </x:c>
      <x:c r="N297" s="26" t="n">
        <x:f>M297-K297</x:f>
        <x:v>0</x:v>
      </x:c>
      <x:c r="O297" s="24" t="str">
        <x:f>'500件商品'!Q297</x:f>
        <x:v>3區</x:v>
      </x:c>
      <x:c r="P297" s="26" t="n">
        <x:f>'500件商品'!R297</x:f>
        <x:v>33</x:v>
      </x:c>
      <x:c r="Q297" s="24" t="str">
        <x:f>IF(H297="否","非棧板管理",IF(AND(E297="是",N297&gt;0),"季節彈性前移區",IF(OR(C297="Cluster 3",D297&gt;=55),"近端低層棧板區",IF(C297="Cluster 2","中段大貨位",IF(C297="Cluster 4","遠端彈性儲位","中段棧板區")))))</x:f>
        <x:v>中段大貨位</x:v>
      </x:c>
      <x:c r="R297" s="24" t="str">
        <x:f>IF(AND(H297="是",E297="是",N297&gt;0),"是","否")</x:f>
        <x:v>否</x:v>
      </x:c>
      <x:c r="S297" s="24" t="str">
        <x:f>IF(H297="否","非本次棧板儲位分析對象",IF(R297="是","旺季前需前移並增加棧板位",IF(N297&gt;0,"需增加棧板位",IF(N297&lt;0,"可釋放部分棧板位","維持現況"))))</x:f>
        <x:v>維持現況</x:v>
      </x:c>
    </x:row>
    <x:row r="298">
      <x:c r="A298" s="24" t="str">
        <x:f>'500件商品'!A298</x:f>
        <x:v>PX0294</x:v>
      </x:c>
      <x:c r="B298" s="24" t="str">
        <x:f>'500件商品'!B298</x:f>
        <x:v>寵物罐頭箱-家庭號</x:v>
      </x:c>
      <x:c r="C298" s="24" t="str">
        <x:f>'500件商品'!D298</x:f>
        <x:v>Cluster 4</x:v>
      </x:c>
      <x:c r="D298" s="26" t="n">
        <x:f>'500件商品'!F298</x:f>
        <x:v>10</x:v>
      </x:c>
      <x:c r="E298" s="24" t="str">
        <x:f>'500件商品'!K298</x:f>
        <x:v>是</x:v>
      </x:c>
      <x:c r="F298" s="24" t="str">
        <x:f>'500件商品'!L298</x:f>
        <x:v>旺季</x:v>
      </x:c>
      <x:c r="G298" s="28" t="n">
        <x:f>'500件商品'!M298</x:f>
        <x:v>1.8</x:v>
      </x:c>
      <x:c r="H298" s="24" t="str">
        <x:f>'500件商品'!P298</x:f>
        <x:v>否</x:v>
      </x:c>
      <x:c r="I298" s="26" t="n">
        <x:f>'500件商品'!N298</x:f>
        <x:v>121</x:v>
      </x:c>
      <x:c r="J298" s="26" t="str">
        <x:f>'500件商品'!O298</x:f>
      </x:c>
      <x:c r="K298" s="26" t="n">
        <x:f>IF(H298="是",CEILING(I298/J298,1),0)</x:f>
        <x:v>0</x:v>
      </x:c>
      <x:c r="L298" s="26" t="n">
        <x:f>ROUND(I298*G298,0)</x:f>
        <x:v>218</x:v>
      </x:c>
      <x:c r="M298" s="26" t="n">
        <x:f>IF(H298="是",CEILING(L298/J298,1),0)</x:f>
        <x:v>0</x:v>
      </x:c>
      <x:c r="N298" s="26" t="n">
        <x:f>M298-K298</x:f>
        <x:v>0</x:v>
      </x:c>
      <x:c r="O298" s="24" t="str">
        <x:f>'500件商品'!Q298</x:f>
        <x:v>A區</x:v>
      </x:c>
      <x:c r="P298" s="26" t="n">
        <x:f>'500件商品'!R298</x:f>
        <x:v>18</x:v>
      </x:c>
      <x:c r="Q298" s="24" t="str">
        <x:f>IF(H298="否","非棧板管理",IF(AND(E298="是",N298&gt;0),"季節彈性前移區",IF(OR(C298="Cluster 3",D298&gt;=55),"近端低層棧板區",IF(C298="Cluster 2","中段大貨位",IF(C298="Cluster 4","遠端彈性儲位","中段棧板區")))))</x:f>
        <x:v>非棧板管理</x:v>
      </x:c>
      <x:c r="R298" s="24" t="str">
        <x:f>IF(AND(H298="是",E298="是",N298&gt;0),"是","否")</x:f>
        <x:v>否</x:v>
      </x:c>
      <x:c r="S298" s="24" t="str">
        <x:f>IF(H298="否","非本次棧板儲位分析對象",IF(R298="是","旺季前需前移並增加棧板位",IF(N298&gt;0,"需增加棧板位",IF(N298&lt;0,"可釋放部分棧板位","維持現況"))))</x:f>
        <x:v>非本次棧板儲位分析對象</x:v>
      </x:c>
    </x:row>
    <x:row r="299">
      <x:c r="A299" s="24" t="str">
        <x:f>'500件商品'!A299</x:f>
        <x:v>PX0295</x:v>
      </x:c>
      <x:c r="B299" s="24" t="str">
        <x:f>'500件商品'!B299</x:f>
        <x:v>備用耗材-補充包</x:v>
      </x:c>
      <x:c r="C299" s="24" t="str">
        <x:f>'500件商品'!D299</x:f>
        <x:v>Cluster 2</x:v>
      </x:c>
      <x:c r="D299" s="26" t="n">
        <x:f>'500件商品'!F299</x:f>
        <x:v>27</x:v>
      </x:c>
      <x:c r="E299" s="24" t="str">
        <x:f>'500件商品'!K299</x:f>
        <x:v>否</x:v>
      </x:c>
      <x:c r="F299" s="24" t="str">
        <x:f>'500件商品'!L299</x:f>
      </x:c>
      <x:c r="G299" s="28" t="n">
        <x:f>'500件商品'!M299</x:f>
        <x:v>1.1</x:v>
      </x:c>
      <x:c r="H299" s="24" t="str">
        <x:f>'500件商品'!P299</x:f>
        <x:v>是</x:v>
      </x:c>
      <x:c r="I299" s="26" t="n">
        <x:f>'500件商品'!N299</x:f>
        <x:v>150</x:v>
      </x:c>
      <x:c r="J299" s="26" t="n">
        <x:f>'500件商品'!O299</x:f>
        <x:v>18</x:v>
      </x:c>
      <x:c r="K299" s="26" t="n">
        <x:f>IF(H299="是",CEILING(I299/J299,1),0)</x:f>
        <x:v>9</x:v>
      </x:c>
      <x:c r="L299" s="26" t="n">
        <x:f>ROUND(I299*G299,0)</x:f>
        <x:v>165</x:v>
      </x:c>
      <x:c r="M299" s="26" t="n">
        <x:f>IF(H299="是",CEILING(L299/J299,1),0)</x:f>
        <x:v>10</x:v>
      </x:c>
      <x:c r="N299" s="26" t="n">
        <x:f>M299-K299</x:f>
        <x:v>1</x:v>
      </x:c>
      <x:c r="O299" s="24" t="str">
        <x:f>'500件商品'!Q299</x:f>
        <x:v>K區</x:v>
      </x:c>
      <x:c r="P299" s="26" t="n">
        <x:f>'500件商品'!R299</x:f>
        <x:v>39</x:v>
      </x:c>
      <x:c r="Q299" s="24" t="str">
        <x:f>IF(H299="否","非棧板管理",IF(AND(E299="是",N299&gt;0),"季節彈性前移區",IF(OR(C299="Cluster 3",D299&gt;=55),"近端低層棧板區",IF(C299="Cluster 2","中段大貨位",IF(C299="Cluster 4","遠端彈性儲位","中段棧板區")))))</x:f>
        <x:v>中段大貨位</x:v>
      </x:c>
      <x:c r="R299" s="24" t="str">
        <x:f>IF(AND(H299="是",E299="是",N299&gt;0),"是","否")</x:f>
        <x:v>否</x:v>
      </x:c>
      <x:c r="S299" s="24" t="str">
        <x:f>IF(H299="否","非本次棧板儲位分析對象",IF(R299="是","旺季前需前移並增加棧板位",IF(N299&gt;0,"需增加棧板位",IF(N299&lt;0,"可釋放部分棧板位","維持現況"))))</x:f>
        <x:v>需增加棧板位</x:v>
      </x:c>
    </x:row>
    <x:row r="300">
      <x:c r="A300" s="24" t="str">
        <x:f>'500件商品'!A300</x:f>
        <x:v>PX0296</x:v>
      </x:c>
      <x:c r="B300" s="24" t="str">
        <x:f>'500件商品'!B300</x:f>
        <x:v>手套耗材-家庭號</x:v>
      </x:c>
      <x:c r="C300" s="24" t="str">
        <x:f>'500件商品'!D300</x:f>
        <x:v>Cluster 5</x:v>
      </x:c>
      <x:c r="D300" s="26" t="n">
        <x:f>'500件商品'!F300</x:f>
        <x:v>67</x:v>
      </x:c>
      <x:c r="E300" s="24" t="str">
        <x:f>'500件商品'!K300</x:f>
        <x:v>否</x:v>
      </x:c>
      <x:c r="F300" s="24" t="str">
        <x:f>'500件商品'!L300</x:f>
      </x:c>
      <x:c r="G300" s="28" t="n">
        <x:f>'500件商品'!M300</x:f>
        <x:v>1</x:v>
      </x:c>
      <x:c r="H300" s="24" t="str">
        <x:f>'500件商品'!P300</x:f>
        <x:v>是</x:v>
      </x:c>
      <x:c r="I300" s="26" t="n">
        <x:f>'500件商品'!N300</x:f>
        <x:v>414</x:v>
      </x:c>
      <x:c r="J300" s="26" t="n">
        <x:f>'500件商品'!O300</x:f>
        <x:v>48</x:v>
      </x:c>
      <x:c r="K300" s="26" t="n">
        <x:f>IF(H300="是",CEILING(I300/J300,1),0)</x:f>
        <x:v>9</x:v>
      </x:c>
      <x:c r="L300" s="26" t="n">
        <x:f>ROUND(I300*G300,0)</x:f>
        <x:v>414</x:v>
      </x:c>
      <x:c r="M300" s="26" t="n">
        <x:f>IF(H300="是",CEILING(L300/J300,1),0)</x:f>
        <x:v>9</x:v>
      </x:c>
      <x:c r="N300" s="26" t="n">
        <x:f>M300-K300</x:f>
        <x:v>0</x:v>
      </x:c>
      <x:c r="O300" s="24" t="str">
        <x:f>'500件商品'!Q300</x:f>
        <x:v>遠端區</x:v>
      </x:c>
      <x:c r="P300" s="26" t="n">
        <x:f>'500件商品'!R300</x:f>
        <x:v>72</x:v>
      </x:c>
      <x:c r="Q300" s="24" t="str">
        <x:f>IF(H300="否","非棧板管理",IF(AND(E300="是",N300&gt;0),"季節彈性前移區",IF(OR(C300="Cluster 3",D300&gt;=55),"近端低層棧板區",IF(C300="Cluster 2","中段大貨位",IF(C300="Cluster 4","遠端彈性儲位","中段棧板區")))))</x:f>
        <x:v>近端低層棧板區</x:v>
      </x:c>
      <x:c r="R300" s="24" t="str">
        <x:f>IF(AND(H300="是",E300="是",N300&gt;0),"是","否")</x:f>
        <x:v>否</x:v>
      </x:c>
      <x:c r="S300" s="24" t="str">
        <x:f>IF(H300="否","非本次棧板儲位分析對象",IF(R300="是","旺季前需前移並增加棧板位",IF(N300&gt;0,"需增加棧板位",IF(N300&lt;0,"可釋放部分棧板位","維持現況"))))</x:f>
        <x:v>維持現況</x:v>
      </x:c>
    </x:row>
    <x:row r="301">
      <x:c r="A301" s="24" t="str">
        <x:f>'500件商品'!A301</x:f>
        <x:v>PX0297</x:v>
      </x:c>
      <x:c r="B301" s="24" t="str">
        <x:f>'500件商品'!B301</x:f>
        <x:v>衣架組-箱裝</x:v>
      </x:c>
      <x:c r="C301" s="24" t="str">
        <x:f>'500件商品'!D301</x:f>
        <x:v>Cluster 2</x:v>
      </x:c>
      <x:c r="D301" s="26" t="n">
        <x:f>'500件商品'!F301</x:f>
        <x:v>35</x:v>
      </x:c>
      <x:c r="E301" s="24" t="str">
        <x:f>'500件商品'!K301</x:f>
        <x:v>否</x:v>
      </x:c>
      <x:c r="F301" s="24" t="str">
        <x:f>'500件商品'!L301</x:f>
      </x:c>
      <x:c r="G301" s="28" t="n">
        <x:f>'500件商品'!M301</x:f>
        <x:v>1</x:v>
      </x:c>
      <x:c r="H301" s="24" t="str">
        <x:f>'500件商品'!P301</x:f>
        <x:v>是</x:v>
      </x:c>
      <x:c r="I301" s="26" t="n">
        <x:f>'500件商品'!N301</x:f>
        <x:v>270</x:v>
      </x:c>
      <x:c r="J301" s="26" t="n">
        <x:f>'500件商品'!O301</x:f>
        <x:v>30</x:v>
      </x:c>
      <x:c r="K301" s="26" t="n">
        <x:f>IF(H301="是",CEILING(I301/J301,1),0)</x:f>
        <x:v>9</x:v>
      </x:c>
      <x:c r="L301" s="26" t="n">
        <x:f>ROUND(I301*G301,0)</x:f>
        <x:v>270</x:v>
      </x:c>
      <x:c r="M301" s="26" t="n">
        <x:f>IF(H301="是",CEILING(L301/J301,1),0)</x:f>
        <x:v>9</x:v>
      </x:c>
      <x:c r="N301" s="26" t="n">
        <x:f>M301-K301</x:f>
        <x:v>0</x:v>
      </x:c>
      <x:c r="O301" s="24" t="str">
        <x:f>'500件商品'!Q301</x:f>
        <x:v>K區</x:v>
      </x:c>
      <x:c r="P301" s="26" t="n">
        <x:f>'500件商品'!R301</x:f>
        <x:v>54</x:v>
      </x:c>
      <x:c r="Q301" s="24" t="str">
        <x:f>IF(H301="否","非棧板管理",IF(AND(E301="是",N301&gt;0),"季節彈性前移區",IF(OR(C301="Cluster 3",D301&gt;=55),"近端低層棧板區",IF(C301="Cluster 2","中段大貨位",IF(C301="Cluster 4","遠端彈性儲位","中段棧板區")))))</x:f>
        <x:v>中段大貨位</x:v>
      </x:c>
      <x:c r="R301" s="24" t="str">
        <x:f>IF(AND(H301="是",E301="是",N301&gt;0),"是","否")</x:f>
        <x:v>否</x:v>
      </x:c>
      <x:c r="S301" s="24" t="str">
        <x:f>IF(H301="否","非本次棧板儲位分析對象",IF(R301="是","旺季前需前移並增加棧板位",IF(N301&gt;0,"需增加棧板位",IF(N301&lt;0,"可釋放部分棧板位","維持現況"))))</x:f>
        <x:v>維持現況</x:v>
      </x:c>
    </x:row>
    <x:row r="302">
      <x:c r="A302" s="24" t="str">
        <x:f>'500件商品'!A302</x:f>
        <x:v>PX0298</x:v>
      </x:c>
      <x:c r="B302" s="24" t="str">
        <x:f>'500件商品'!B302</x:f>
        <x:v>白米3kg-促銷組</x:v>
      </x:c>
      <x:c r="C302" s="24" t="str">
        <x:f>'500件商品'!D302</x:f>
        <x:v>Cluster 5</x:v>
      </x:c>
      <x:c r="D302" s="26" t="n">
        <x:f>'500件商品'!F302</x:f>
        <x:v>14</x:v>
      </x:c>
      <x:c r="E302" s="24" t="str">
        <x:f>'500件商品'!K302</x:f>
        <x:v>否</x:v>
      </x:c>
      <x:c r="F302" s="24" t="str">
        <x:f>'500件商品'!L302</x:f>
      </x:c>
      <x:c r="G302" s="28" t="n">
        <x:f>'500件商品'!M302</x:f>
        <x:v>1</x:v>
      </x:c>
      <x:c r="H302" s="24" t="str">
        <x:f>'500件商品'!P302</x:f>
        <x:v>是</x:v>
      </x:c>
      <x:c r="I302" s="26" t="n">
        <x:f>'500件商品'!N302</x:f>
        <x:v>129</x:v>
      </x:c>
      <x:c r="J302" s="26" t="n">
        <x:f>'500件商品'!O302</x:f>
        <x:v>48</x:v>
      </x:c>
      <x:c r="K302" s="26" t="n">
        <x:f>IF(H302="是",CEILING(I302/J302,1),0)</x:f>
        <x:v>3</x:v>
      </x:c>
      <x:c r="L302" s="26" t="n">
        <x:f>ROUND(I302*G302,0)</x:f>
        <x:v>129</x:v>
      </x:c>
      <x:c r="M302" s="26" t="n">
        <x:f>IF(H302="是",CEILING(L302/J302,1),0)</x:f>
        <x:v>3</x:v>
      </x:c>
      <x:c r="N302" s="26" t="n">
        <x:f>M302-K302</x:f>
        <x:v>0</x:v>
      </x:c>
      <x:c r="O302" s="24" t="str">
        <x:f>'500件商品'!Q302</x:f>
        <x:v>K區</x:v>
      </x:c>
      <x:c r="P302" s="26" t="n">
        <x:f>'500件商品'!R302</x:f>
        <x:v>44</x:v>
      </x:c>
      <x:c r="Q302" s="24" t="str">
        <x:f>IF(H302="否","非棧板管理",IF(AND(E302="是",N302&gt;0),"季節彈性前移區",IF(OR(C302="Cluster 3",D302&gt;=55),"近端低層棧板區",IF(C302="Cluster 2","中段大貨位",IF(C302="Cluster 4","遠端彈性儲位","中段棧板區")))))</x:f>
        <x:v>中段棧板區</x:v>
      </x:c>
      <x:c r="R302" s="24" t="str">
        <x:f>IF(AND(H302="是",E302="是",N302&gt;0),"是","否")</x:f>
        <x:v>否</x:v>
      </x:c>
      <x:c r="S302" s="24" t="str">
        <x:f>IF(H302="否","非本次棧板儲位分析對象",IF(R302="是","旺季前需前移並增加棧板位",IF(N302&gt;0,"需增加棧板位",IF(N302&lt;0,"可釋放部分棧板位","維持現況"))))</x:f>
        <x:v>維持現況</x:v>
      </x:c>
    </x:row>
    <x:row r="303">
      <x:c r="A303" s="24" t="str">
        <x:f>'500件商品'!A303</x:f>
        <x:v>PX0299</x:v>
      </x:c>
      <x:c r="B303" s="24" t="str">
        <x:f>'500件商品'!B303</x:f>
        <x:v>尿布箱-小包裝</x:v>
      </x:c>
      <x:c r="C303" s="24" t="str">
        <x:f>'500件商品'!D303</x:f>
        <x:v>Cluster 2</x:v>
      </x:c>
      <x:c r="D303" s="26" t="n">
        <x:f>'500件商品'!F303</x:f>
        <x:v>32</x:v>
      </x:c>
      <x:c r="E303" s="24" t="str">
        <x:f>'500件商品'!K303</x:f>
        <x:v>否</x:v>
      </x:c>
      <x:c r="F303" s="24" t="str">
        <x:f>'500件商品'!L303</x:f>
      </x:c>
      <x:c r="G303" s="28" t="n">
        <x:f>'500件商品'!M303</x:f>
        <x:v>1</x:v>
      </x:c>
      <x:c r="H303" s="24" t="str">
        <x:f>'500件商品'!P303</x:f>
        <x:v>是</x:v>
      </x:c>
      <x:c r="I303" s="26" t="n">
        <x:f>'500件商品'!N303</x:f>
        <x:v>122</x:v>
      </x:c>
      <x:c r="J303" s="26" t="n">
        <x:f>'500件商品'!O303</x:f>
        <x:v>20</x:v>
      </x:c>
      <x:c r="K303" s="26" t="n">
        <x:f>IF(H303="是",CEILING(I303/J303,1),0)</x:f>
        <x:v>7</x:v>
      </x:c>
      <x:c r="L303" s="26" t="n">
        <x:f>ROUND(I303*G303,0)</x:f>
        <x:v>122</x:v>
      </x:c>
      <x:c r="M303" s="26" t="n">
        <x:f>IF(H303="是",CEILING(L303/J303,1),0)</x:f>
        <x:v>7</x:v>
      </x:c>
      <x:c r="N303" s="26" t="n">
        <x:f>M303-K303</x:f>
        <x:v>0</x:v>
      </x:c>
      <x:c r="O303" s="24" t="str">
        <x:f>'500件商品'!Q303</x:f>
        <x:v>遠端區</x:v>
      </x:c>
      <x:c r="P303" s="26" t="n">
        <x:f>'500件商品'!R303</x:f>
        <x:v>71</x:v>
      </x:c>
      <x:c r="Q303" s="24" t="str">
        <x:f>IF(H303="否","非棧板管理",IF(AND(E303="是",N303&gt;0),"季節彈性前移區",IF(OR(C303="Cluster 3",D303&gt;=55),"近端低層棧板區",IF(C303="Cluster 2","中段大貨位",IF(C303="Cluster 4","遠端彈性儲位","中段棧板區")))))</x:f>
        <x:v>中段大貨位</x:v>
      </x:c>
      <x:c r="R303" s="24" t="str">
        <x:f>IF(AND(H303="是",E303="是",N303&gt;0),"是","否")</x:f>
        <x:v>否</x:v>
      </x:c>
      <x:c r="S303" s="24" t="str">
        <x:f>IF(H303="否","非本次棧板儲位分析對象",IF(R303="是","旺季前需前移並增加棧板位",IF(N303&gt;0,"需增加棧板位",IF(N303&lt;0,"可釋放部分棧板位","維持現況"))))</x:f>
        <x:v>維持現況</x:v>
      </x:c>
    </x:row>
    <x:row r="304">
      <x:c r="A304" s="24" t="str">
        <x:f>'500件商品'!A304</x:f>
        <x:v>PX0300</x:v>
      </x:c>
      <x:c r="B304" s="24" t="str">
        <x:f>'500件商品'!B304</x:f>
        <x:v>運動飲料整箱-家庭號</x:v>
      </x:c>
      <x:c r="C304" s="24" t="str">
        <x:f>'500件商品'!D304</x:f>
        <x:v>Cluster 1</x:v>
      </x:c>
      <x:c r="D304" s="26" t="n">
        <x:f>'500件商品'!F304</x:f>
        <x:v>12</x:v>
      </x:c>
      <x:c r="E304" s="24" t="str">
        <x:f>'500件商品'!K304</x:f>
        <x:v>否</x:v>
      </x:c>
      <x:c r="F304" s="24" t="str">
        <x:f>'500件商品'!L304</x:f>
      </x:c>
      <x:c r="G304" s="28" t="n">
        <x:f>'500件商品'!M304</x:f>
        <x:v>1.2</x:v>
      </x:c>
      <x:c r="H304" s="24" t="str">
        <x:f>'500件商品'!P304</x:f>
        <x:v>是</x:v>
      </x:c>
      <x:c r="I304" s="26" t="n">
        <x:f>'500件商品'!N304</x:f>
        <x:v>82</x:v>
      </x:c>
      <x:c r="J304" s="26" t="n">
        <x:f>'500件商品'!O304</x:f>
        <x:v>40</x:v>
      </x:c>
      <x:c r="K304" s="26" t="n">
        <x:f>IF(H304="是",CEILING(I304/J304,1),0)</x:f>
        <x:v>3</x:v>
      </x:c>
      <x:c r="L304" s="26" t="n">
        <x:f>ROUND(I304*G304,0)</x:f>
        <x:v>98</x:v>
      </x:c>
      <x:c r="M304" s="26" t="n">
        <x:f>IF(H304="是",CEILING(L304/J304,1),0)</x:f>
        <x:v>3</x:v>
      </x:c>
      <x:c r="N304" s="26" t="n">
        <x:f>M304-K304</x:f>
        <x:v>0</x:v>
      </x:c>
      <x:c r="O304" s="24" t="str">
        <x:f>'500件商品'!Q304</x:f>
        <x:v>遠端區</x:v>
      </x:c>
      <x:c r="P304" s="26" t="n">
        <x:f>'500件商品'!R304</x:f>
        <x:v>68</x:v>
      </x:c>
      <x:c r="Q304" s="24" t="str">
        <x:f>IF(H304="否","非棧板管理",IF(AND(E304="是",N304&gt;0),"季節彈性前移區",IF(OR(C304="Cluster 3",D304&gt;=55),"近端低層棧板區",IF(C304="Cluster 2","中段大貨位",IF(C304="Cluster 4","遠端彈性儲位","中段棧板區")))))</x:f>
        <x:v>中段棧板區</x:v>
      </x:c>
      <x:c r="R304" s="24" t="str">
        <x:f>IF(AND(H304="是",E304="是",N304&gt;0),"是","否")</x:f>
        <x:v>否</x:v>
      </x:c>
      <x:c r="S304" s="24" t="str">
        <x:f>IF(H304="否","非本次棧板儲位分析對象",IF(R304="是","旺季前需前移並增加棧板位",IF(N304&gt;0,"需增加棧板位",IF(N304&lt;0,"可釋放部分棧板位","維持現況"))))</x:f>
        <x:v>維持現況</x:v>
      </x:c>
    </x:row>
    <x:row r="305">
      <x:c r="A305" s="24" t="str">
        <x:f>'500件商品'!A305</x:f>
        <x:v>PX0301</x:v>
      </x:c>
      <x:c r="B305" s="24" t="str">
        <x:f>'500件商品'!B305</x:f>
        <x:v>抹布組-促銷組</x:v>
      </x:c>
      <x:c r="C305" s="24" t="str">
        <x:f>'500件商品'!D305</x:f>
        <x:v>Cluster 5</x:v>
      </x:c>
      <x:c r="D305" s="26" t="n">
        <x:f>'500件商品'!F305</x:f>
        <x:v>25</x:v>
      </x:c>
      <x:c r="E305" s="24" t="str">
        <x:f>'500件商品'!K305</x:f>
        <x:v>否</x:v>
      </x:c>
      <x:c r="F305" s="24" t="str">
        <x:f>'500件商品'!L305</x:f>
      </x:c>
      <x:c r="G305" s="28" t="n">
        <x:f>'500件商品'!M305</x:f>
        <x:v>1</x:v>
      </x:c>
      <x:c r="H305" s="24" t="str">
        <x:f>'500件商品'!P305</x:f>
        <x:v>否</x:v>
      </x:c>
      <x:c r="I305" s="26" t="n">
        <x:f>'500件商品'!N305</x:f>
        <x:v>237</x:v>
      </x:c>
      <x:c r="J305" s="26" t="str">
        <x:f>'500件商品'!O305</x:f>
      </x:c>
      <x:c r="K305" s="26" t="n">
        <x:f>IF(H305="是",CEILING(I305/J305,1),0)</x:f>
        <x:v>0</x:v>
      </x:c>
      <x:c r="L305" s="26" t="n">
        <x:f>ROUND(I305*G305,0)</x:f>
        <x:v>237</x:v>
      </x:c>
      <x:c r="M305" s="26" t="n">
        <x:f>IF(H305="是",CEILING(L305/J305,1),0)</x:f>
        <x:v>0</x:v>
      </x:c>
      <x:c r="N305" s="26" t="n">
        <x:f>M305-K305</x:f>
        <x:v>0</x:v>
      </x:c>
      <x:c r="O305" s="24" t="str">
        <x:f>'500件商品'!Q305</x:f>
        <x:v>3區</x:v>
      </x:c>
      <x:c r="P305" s="26" t="n">
        <x:f>'500件商品'!R305</x:f>
        <x:v>45</x:v>
      </x:c>
      <x:c r="Q305" s="24" t="str">
        <x:f>IF(H305="否","非棧板管理",IF(AND(E305="是",N305&gt;0),"季節彈性前移區",IF(OR(C305="Cluster 3",D305&gt;=55),"近端低層棧板區",IF(C305="Cluster 2","中段大貨位",IF(C305="Cluster 4","遠端彈性儲位","中段棧板區")))))</x:f>
        <x:v>非棧板管理</x:v>
      </x:c>
      <x:c r="R305" s="24" t="str">
        <x:f>IF(AND(H305="是",E305="是",N305&gt;0),"是","否")</x:f>
        <x:v>否</x:v>
      </x:c>
      <x:c r="S305" s="24" t="str">
        <x:f>IF(H305="否","非本次棧板儲位分析對象",IF(R305="是","旺季前需前移並增加棧板位",IF(N305&gt;0,"需增加棧板位",IF(N305&lt;0,"可釋放部分棧板位","維持現況"))))</x:f>
        <x:v>非本次棧板儲位分析對象</x:v>
      </x:c>
    </x:row>
    <x:row r="306">
      <x:c r="A306" s="24" t="str">
        <x:f>'500件商品'!A306</x:f>
        <x:v>PX0302</x:v>
      </x:c>
      <x:c r="B306" s="24" t="str">
        <x:f>'500件商品'!B306</x:f>
        <x:v>年節禮盒組-補充包</x:v>
      </x:c>
      <x:c r="C306" s="24" t="str">
        <x:f>'500件商品'!D306</x:f>
        <x:v>Cluster 4</x:v>
      </x:c>
      <x:c r="D306" s="26" t="n">
        <x:f>'500件商品'!F306</x:f>
        <x:v>11</x:v>
      </x:c>
      <x:c r="E306" s="24" t="str">
        <x:f>'500件商品'!K306</x:f>
        <x:v>是</x:v>
      </x:c>
      <x:c r="F306" s="24" t="str">
        <x:f>'500件商品'!L306</x:f>
        <x:v>1-2月</x:v>
      </x:c>
      <x:c r="G306" s="28" t="n">
        <x:f>'500件商品'!M306</x:f>
        <x:v>2</x:v>
      </x:c>
      <x:c r="H306" s="24" t="str">
        <x:f>'500件商品'!P306</x:f>
        <x:v>是</x:v>
      </x:c>
      <x:c r="I306" s="26" t="n">
        <x:f>'500件商品'!N306</x:f>
        <x:v>46</x:v>
      </x:c>
      <x:c r="J306" s="26" t="n">
        <x:f>'500件商品'!O306</x:f>
        <x:v>20</x:v>
      </x:c>
      <x:c r="K306" s="26" t="n">
        <x:f>IF(H306="是",CEILING(I306/J306,1),0)</x:f>
        <x:v>3</x:v>
      </x:c>
      <x:c r="L306" s="26" t="n">
        <x:f>ROUND(I306*G306,0)</x:f>
        <x:v>92</x:v>
      </x:c>
      <x:c r="M306" s="26" t="n">
        <x:f>IF(H306="是",CEILING(L306/J306,1),0)</x:f>
        <x:v>5</x:v>
      </x:c>
      <x:c r="N306" s="26" t="n">
        <x:f>M306-K306</x:f>
        <x:v>2</x:v>
      </x:c>
      <x:c r="O306" s="24" t="str">
        <x:f>'500件商品'!Q306</x:f>
        <x:v>1區</x:v>
      </x:c>
      <x:c r="P306" s="26" t="n">
        <x:f>'500件商品'!R306</x:f>
        <x:v>43</x:v>
      </x:c>
      <x:c r="Q306" s="24" t="str">
        <x:f>IF(H306="否","非棧板管理",IF(AND(E306="是",N306&gt;0),"季節彈性前移區",IF(OR(C306="Cluster 3",D306&gt;=55),"近端低層棧板區",IF(C306="Cluster 2","中段大貨位",IF(C306="Cluster 4","遠端彈性儲位","中段棧板區")))))</x:f>
        <x:v>季節彈性前移區</x:v>
      </x:c>
      <x:c r="R306" s="24" t="str">
        <x:f>IF(AND(H306="是",E306="是",N306&gt;0),"是","否")</x:f>
        <x:v>是</x:v>
      </x:c>
      <x:c r="S306" s="24" t="str">
        <x:f>IF(H306="否","非本次棧板儲位分析對象",IF(R306="是","旺季前需前移並增加棧板位",IF(N306&gt;0,"需增加棧板位",IF(N306&lt;0,"可釋放部分棧板位","維持現況"))))</x:f>
        <x:v>旺季前需前移並增加棧板位</x:v>
      </x:c>
    </x:row>
    <x:row r="307">
      <x:c r="A307" s="24" t="str">
        <x:f>'500件商品'!A307</x:f>
        <x:v>PX0303</x:v>
      </x:c>
      <x:c r="B307" s="24" t="str">
        <x:f>'500件商品'!B307</x:f>
        <x:v>家庭號礦泉水-促銷組</x:v>
      </x:c>
      <x:c r="C307" s="24" t="str">
        <x:f>'500件商品'!D307</x:f>
        <x:v>Cluster 2</x:v>
      </x:c>
      <x:c r="D307" s="26" t="n">
        <x:f>'500件商品'!F307</x:f>
        <x:v>50</x:v>
      </x:c>
      <x:c r="E307" s="24" t="str">
        <x:f>'500件商品'!K307</x:f>
        <x:v>否</x:v>
      </x:c>
      <x:c r="F307" s="24" t="str">
        <x:f>'500件商品'!L307</x:f>
      </x:c>
      <x:c r="G307" s="28" t="n">
        <x:f>'500件商品'!M307</x:f>
        <x:v>1.5</x:v>
      </x:c>
      <x:c r="H307" s="24" t="str">
        <x:f>'500件商品'!P307</x:f>
        <x:v>是</x:v>
      </x:c>
      <x:c r="I307" s="26" t="n">
        <x:f>'500件商品'!N307</x:f>
        <x:v>187</x:v>
      </x:c>
      <x:c r="J307" s="26" t="n">
        <x:f>'500件商品'!O307</x:f>
        <x:v>40</x:v>
      </x:c>
      <x:c r="K307" s="26" t="n">
        <x:f>IF(H307="是",CEILING(I307/J307,1),0)</x:f>
        <x:v>5</x:v>
      </x:c>
      <x:c r="L307" s="26" t="n">
        <x:f>ROUND(I307*G307,0)</x:f>
        <x:v>281</x:v>
      </x:c>
      <x:c r="M307" s="26" t="n">
        <x:f>IF(H307="是",CEILING(L307/J307,1),0)</x:f>
        <x:v>8</x:v>
      </x:c>
      <x:c r="N307" s="26" t="n">
        <x:f>M307-K307</x:f>
        <x:v>3</x:v>
      </x:c>
      <x:c r="O307" s="24" t="str">
        <x:f>'500件商品'!Q307</x:f>
        <x:v>A區</x:v>
      </x:c>
      <x:c r="P307" s="26" t="n">
        <x:f>'500件商品'!R307</x:f>
        <x:v>34</x:v>
      </x:c>
      <x:c r="Q307" s="24" t="str">
        <x:f>IF(H307="否","非棧板管理",IF(AND(E307="是",N307&gt;0),"季節彈性前移區",IF(OR(C307="Cluster 3",D307&gt;=55),"近端低層棧板區",IF(C307="Cluster 2","中段大貨位",IF(C307="Cluster 4","遠端彈性儲位","中段棧板區")))))</x:f>
        <x:v>中段大貨位</x:v>
      </x:c>
      <x:c r="R307" s="24" t="str">
        <x:f>IF(AND(H307="是",E307="是",N307&gt;0),"是","否")</x:f>
        <x:v>否</x:v>
      </x:c>
      <x:c r="S307" s="24" t="str">
        <x:f>IF(H307="否","非本次棧板儲位分析對象",IF(R307="是","旺季前需前移並增加棧板位",IF(N307&gt;0,"需增加棧板位",IF(N307&lt;0,"可釋放部分棧板位","維持現況"))))</x:f>
        <x:v>需增加棧板位</x:v>
      </x:c>
    </x:row>
    <x:row r="308">
      <x:c r="A308" s="24" t="str">
        <x:f>'500件商品'!A308</x:f>
        <x:v>PX0304</x:v>
      </x:c>
      <x:c r="B308" s="24" t="str">
        <x:f>'500件商品'!B308</x:f>
        <x:v>餅乾箱-箱裝</x:v>
      </x:c>
      <x:c r="C308" s="24" t="str">
        <x:f>'500件商品'!D308</x:f>
        <x:v>Cluster 4</x:v>
      </x:c>
      <x:c r="D308" s="26" t="n">
        <x:f>'500件商品'!F308</x:f>
        <x:v>5</x:v>
      </x:c>
      <x:c r="E308" s="24" t="str">
        <x:f>'500件商品'!K308</x:f>
        <x:v>是</x:v>
      </x:c>
      <x:c r="F308" s="24" t="str">
        <x:f>'500件商品'!L308</x:f>
        <x:v>旺季</x:v>
      </x:c>
      <x:c r="G308" s="28" t="n">
        <x:f>'500件商品'!M308</x:f>
        <x:v>2</x:v>
      </x:c>
      <x:c r="H308" s="24" t="str">
        <x:f>'500件商品'!P308</x:f>
        <x:v>否</x:v>
      </x:c>
      <x:c r="I308" s="26" t="n">
        <x:f>'500件商品'!N308</x:f>
        <x:v>74</x:v>
      </x:c>
      <x:c r="J308" s="26" t="str">
        <x:f>'500件商品'!O308</x:f>
      </x:c>
      <x:c r="K308" s="26" t="n">
        <x:f>IF(H308="是",CEILING(I308/J308,1),0)</x:f>
        <x:v>0</x:v>
      </x:c>
      <x:c r="L308" s="26" t="n">
        <x:f>ROUND(I308*G308,0)</x:f>
        <x:v>148</x:v>
      </x:c>
      <x:c r="M308" s="26" t="n">
        <x:f>IF(H308="是",CEILING(L308/J308,1),0)</x:f>
        <x:v>0</x:v>
      </x:c>
      <x:c r="N308" s="26" t="n">
        <x:f>M308-K308</x:f>
        <x:v>0</x:v>
      </x:c>
      <x:c r="O308" s="24" t="str">
        <x:f>'500件商品'!Q308</x:f>
        <x:v>K區</x:v>
      </x:c>
      <x:c r="P308" s="26" t="n">
        <x:f>'500件商品'!R308</x:f>
        <x:v>46</x:v>
      </x:c>
      <x:c r="Q308" s="24" t="str">
        <x:f>IF(H308="否","非棧板管理",IF(AND(E308="是",N308&gt;0),"季節彈性前移區",IF(OR(C308="Cluster 3",D308&gt;=55),"近端低層棧板區",IF(C308="Cluster 2","中段大貨位",IF(C308="Cluster 4","遠端彈性儲位","中段棧板區")))))</x:f>
        <x:v>非棧板管理</x:v>
      </x:c>
      <x:c r="R308" s="24" t="str">
        <x:f>IF(AND(H308="是",E308="是",N308&gt;0),"是","否")</x:f>
        <x:v>否</x:v>
      </x:c>
      <x:c r="S308" s="24" t="str">
        <x:f>IF(H308="否","非本次棧板儲位分析對象",IF(R308="是","旺季前需前移並增加棧板位",IF(N308&gt;0,"需增加棧板位",IF(N308&lt;0,"可釋放部分棧板位","維持現況"))))</x:f>
        <x:v>非本次棧板儲位分析對象</x:v>
      </x:c>
    </x:row>
    <x:row r="309">
      <x:c r="A309" s="24" t="str">
        <x:f>'500件商品'!A309</x:f>
        <x:v>PX0305</x:v>
      </x:c>
      <x:c r="B309" s="24" t="str">
        <x:f>'500件商品'!B309</x:f>
        <x:v>寵物罐頭箱-小包裝</x:v>
      </x:c>
      <x:c r="C309" s="24" t="str">
        <x:f>'500件商品'!D309</x:f>
        <x:v>Cluster 5</x:v>
      </x:c>
      <x:c r="D309" s="26" t="n">
        <x:f>'500件商品'!F309</x:f>
        <x:v>40</x:v>
      </x:c>
      <x:c r="E309" s="24" t="str">
        <x:f>'500件商品'!K309</x:f>
        <x:v>否</x:v>
      </x:c>
      <x:c r="F309" s="24" t="str">
        <x:f>'500件商品'!L309</x:f>
      </x:c>
      <x:c r="G309" s="28" t="n">
        <x:f>'500件商品'!M309</x:f>
        <x:v>1</x:v>
      </x:c>
      <x:c r="H309" s="24" t="str">
        <x:f>'500件商品'!P309</x:f>
        <x:v>是</x:v>
      </x:c>
      <x:c r="I309" s="26" t="n">
        <x:f>'500件商品'!N309</x:f>
        <x:v>135</x:v>
      </x:c>
      <x:c r="J309" s="26" t="n">
        <x:f>'500件商品'!O309</x:f>
        <x:v>72</x:v>
      </x:c>
      <x:c r="K309" s="26" t="n">
        <x:f>IF(H309="是",CEILING(I309/J309,1),0)</x:f>
        <x:v>2</x:v>
      </x:c>
      <x:c r="L309" s="26" t="n">
        <x:f>ROUND(I309*G309,0)</x:f>
        <x:v>135</x:v>
      </x:c>
      <x:c r="M309" s="26" t="n">
        <x:f>IF(H309="是",CEILING(L309/J309,1),0)</x:f>
        <x:v>2</x:v>
      </x:c>
      <x:c r="N309" s="26" t="n">
        <x:f>M309-K309</x:f>
        <x:v>0</x:v>
      </x:c>
      <x:c r="O309" s="24" t="str">
        <x:f>'500件商品'!Q309</x:f>
        <x:v>3區</x:v>
      </x:c>
      <x:c r="P309" s="26" t="n">
        <x:f>'500件商品'!R309</x:f>
        <x:v>38</x:v>
      </x:c>
      <x:c r="Q309" s="24" t="str">
        <x:f>IF(H309="否","非棧板管理",IF(AND(E309="是",N309&gt;0),"季節彈性前移區",IF(OR(C309="Cluster 3",D309&gt;=55),"近端低層棧板區",IF(C309="Cluster 2","中段大貨位",IF(C309="Cluster 4","遠端彈性儲位","中段棧板區")))))</x:f>
        <x:v>中段棧板區</x:v>
      </x:c>
      <x:c r="R309" s="24" t="str">
        <x:f>IF(AND(H309="是",E309="是",N309&gt;0),"是","否")</x:f>
        <x:v>否</x:v>
      </x:c>
      <x:c r="S309" s="24" t="str">
        <x:f>IF(H309="否","非本次棧板儲位分析對象",IF(R309="是","旺季前需前移並增加棧板位",IF(N309&gt;0,"需增加棧板位",IF(N309&lt;0,"可釋放部分棧板位","維持現況"))))</x:f>
        <x:v>維持現況</x:v>
      </x:c>
    </x:row>
    <x:row r="310">
      <x:c r="A310" s="24" t="str">
        <x:f>'500件商品'!A310</x:f>
        <x:v>PX0306</x:v>
      </x:c>
      <x:c r="B310" s="24" t="str">
        <x:f>'500件商品'!B310</x:f>
        <x:v>餐巾紙箱-標準箱</x:v>
      </x:c>
      <x:c r="C310" s="24" t="str">
        <x:f>'500件商品'!D310</x:f>
        <x:v>Cluster 2</x:v>
      </x:c>
      <x:c r="D310" s="26" t="n">
        <x:f>'500件商品'!F310</x:f>
        <x:v>16</x:v>
      </x:c>
      <x:c r="E310" s="24" t="str">
        <x:f>'500件商品'!K310</x:f>
        <x:v>否</x:v>
      </x:c>
      <x:c r="F310" s="24" t="str">
        <x:f>'500件商品'!L310</x:f>
      </x:c>
      <x:c r="G310" s="28" t="n">
        <x:f>'500件商品'!M310</x:f>
        <x:v>1</x:v>
      </x:c>
      <x:c r="H310" s="24" t="str">
        <x:f>'500件商品'!P310</x:f>
        <x:v>是</x:v>
      </x:c>
      <x:c r="I310" s="26" t="n">
        <x:f>'500件商品'!N310</x:f>
        <x:v>119</x:v>
      </x:c>
      <x:c r="J310" s="26" t="n">
        <x:f>'500件商品'!O310</x:f>
        <x:v>20</x:v>
      </x:c>
      <x:c r="K310" s="26" t="n">
        <x:f>IF(H310="是",CEILING(I310/J310,1),0)</x:f>
        <x:v>6</x:v>
      </x:c>
      <x:c r="L310" s="26" t="n">
        <x:f>ROUND(I310*G310,0)</x:f>
        <x:v>119</x:v>
      </x:c>
      <x:c r="M310" s="26" t="n">
        <x:f>IF(H310="是",CEILING(L310/J310,1),0)</x:f>
        <x:v>6</x:v>
      </x:c>
      <x:c r="N310" s="26" t="n">
        <x:f>M310-K310</x:f>
        <x:v>0</x:v>
      </x:c>
      <x:c r="O310" s="24" t="str">
        <x:f>'500件商品'!Q310</x:f>
        <x:v>K區</x:v>
      </x:c>
      <x:c r="P310" s="26" t="n">
        <x:f>'500件商品'!R310</x:f>
        <x:v>53</x:v>
      </x:c>
      <x:c r="Q310" s="24" t="str">
        <x:f>IF(H310="否","非棧板管理",IF(AND(E310="是",N310&gt;0),"季節彈性前移區",IF(OR(C310="Cluster 3",D310&gt;=55),"近端低層棧板區",IF(C310="Cluster 2","中段大貨位",IF(C310="Cluster 4","遠端彈性儲位","中段棧板區")))))</x:f>
        <x:v>中段大貨位</x:v>
      </x:c>
      <x:c r="R310" s="24" t="str">
        <x:f>IF(AND(H310="是",E310="是",N310&gt;0),"是","否")</x:f>
        <x:v>否</x:v>
      </x:c>
      <x:c r="S310" s="24" t="str">
        <x:f>IF(H310="否","非本次棧板儲位分析對象",IF(R310="是","旺季前需前移並增加棧板位",IF(N310&gt;0,"需增加棧板位",IF(N310&lt;0,"可釋放部分棧板位","維持現況"))))</x:f>
        <x:v>維持現況</x:v>
      </x:c>
    </x:row>
    <x:row r="311">
      <x:c r="A311" s="24" t="str">
        <x:f>'500件商品'!A311</x:f>
        <x:v>PX0307</x:v>
      </x:c>
      <x:c r="B311" s="24" t="str">
        <x:f>'500件商品'!B311</x:f>
        <x:v>泡麵箱-家庭號</x:v>
      </x:c>
      <x:c r="C311" s="24" t="str">
        <x:f>'500件商品'!D311</x:f>
        <x:v>Cluster 5</x:v>
      </x:c>
      <x:c r="D311" s="26" t="n">
        <x:f>'500件商品'!F311</x:f>
        <x:v>46</x:v>
      </x:c>
      <x:c r="E311" s="24" t="str">
        <x:f>'500件商品'!K311</x:f>
        <x:v>否</x:v>
      </x:c>
      <x:c r="F311" s="24" t="str">
        <x:f>'500件商品'!L311</x:f>
      </x:c>
      <x:c r="G311" s="28" t="n">
        <x:f>'500件商品'!M311</x:f>
        <x:v>1</x:v>
      </x:c>
      <x:c r="H311" s="24" t="str">
        <x:f>'500件商品'!P311</x:f>
        <x:v>是</x:v>
      </x:c>
      <x:c r="I311" s="26" t="n">
        <x:f>'500件商品'!N311</x:f>
        <x:v>326</x:v>
      </x:c>
      <x:c r="J311" s="26" t="n">
        <x:f>'500件商品'!O311</x:f>
        <x:v>80</x:v>
      </x:c>
      <x:c r="K311" s="26" t="n">
        <x:f>IF(H311="是",CEILING(I311/J311,1),0)</x:f>
        <x:v>5</x:v>
      </x:c>
      <x:c r="L311" s="26" t="n">
        <x:f>ROUND(I311*G311,0)</x:f>
        <x:v>326</x:v>
      </x:c>
      <x:c r="M311" s="26" t="n">
        <x:f>IF(H311="是",CEILING(L311/J311,1),0)</x:f>
        <x:v>5</x:v>
      </x:c>
      <x:c r="N311" s="26" t="n">
        <x:f>M311-K311</x:f>
        <x:v>0</x:v>
      </x:c>
      <x:c r="O311" s="24" t="str">
        <x:f>'500件商品'!Q311</x:f>
        <x:v>K區</x:v>
      </x:c>
      <x:c r="P311" s="26" t="n">
        <x:f>'500件商品'!R311</x:f>
        <x:v>44</x:v>
      </x:c>
      <x:c r="Q311" s="24" t="str">
        <x:f>IF(H311="否","非棧板管理",IF(AND(E311="是",N311&gt;0),"季節彈性前移區",IF(OR(C311="Cluster 3",D311&gt;=55),"近端低層棧板區",IF(C311="Cluster 2","中段大貨位",IF(C311="Cluster 4","遠端彈性儲位","中段棧板區")))))</x:f>
        <x:v>中段棧板區</x:v>
      </x:c>
      <x:c r="R311" s="24" t="str">
        <x:f>IF(AND(H311="是",E311="是",N311&gt;0),"是","否")</x:f>
        <x:v>否</x:v>
      </x:c>
      <x:c r="S311" s="24" t="str">
        <x:f>IF(H311="否","非本次棧板儲位分析對象",IF(R311="是","旺季前需前移並增加棧板位",IF(N311&gt;0,"需增加棧板位",IF(N311&lt;0,"可釋放部分棧板位","維持現況"))))</x:f>
        <x:v>維持現況</x:v>
      </x:c>
    </x:row>
    <x:row r="312">
      <x:c r="A312" s="24" t="str">
        <x:f>'500件商品'!A312</x:f>
        <x:v>PX0308</x:v>
      </x:c>
      <x:c r="B312" s="24" t="str">
        <x:f>'500件商品'!B312</x:f>
        <x:v>寵物罐頭箱-箱裝</x:v>
      </x:c>
      <x:c r="C312" s="24" t="str">
        <x:f>'500件商品'!D312</x:f>
        <x:v>Cluster 5</x:v>
      </x:c>
      <x:c r="D312" s="26" t="n">
        <x:f>'500件商品'!F312</x:f>
        <x:v>32</x:v>
      </x:c>
      <x:c r="E312" s="24" t="str">
        <x:f>'500件商品'!K312</x:f>
        <x:v>否</x:v>
      </x:c>
      <x:c r="F312" s="24" t="str">
        <x:f>'500件商品'!L312</x:f>
      </x:c>
      <x:c r="G312" s="28" t="n">
        <x:f>'500件商品'!M312</x:f>
        <x:v>1</x:v>
      </x:c>
      <x:c r="H312" s="24" t="str">
        <x:f>'500件商品'!P312</x:f>
        <x:v>否</x:v>
      </x:c>
      <x:c r="I312" s="26" t="n">
        <x:f>'500件商品'!N312</x:f>
        <x:v>105</x:v>
      </x:c>
      <x:c r="J312" s="26" t="str">
        <x:f>'500件商品'!O312</x:f>
      </x:c>
      <x:c r="K312" s="26" t="n">
        <x:f>IF(H312="是",CEILING(I312/J312,1),0)</x:f>
        <x:v>0</x:v>
      </x:c>
      <x:c r="L312" s="26" t="n">
        <x:f>ROUND(I312*G312,0)</x:f>
        <x:v>105</x:v>
      </x:c>
      <x:c r="M312" s="26" t="n">
        <x:f>IF(H312="是",CEILING(L312/J312,1),0)</x:f>
        <x:v>0</x:v>
      </x:c>
      <x:c r="N312" s="26" t="n">
        <x:f>M312-K312</x:f>
        <x:v>0</x:v>
      </x:c>
      <x:c r="O312" s="24" t="str">
        <x:f>'500件商品'!Q312</x:f>
        <x:v>遠端區</x:v>
      </x:c>
      <x:c r="P312" s="26" t="n">
        <x:f>'500件商品'!R312</x:f>
        <x:v>58</x:v>
      </x:c>
      <x:c r="Q312" s="24" t="str">
        <x:f>IF(H312="否","非棧板管理",IF(AND(E312="是",N312&gt;0),"季節彈性前移區",IF(OR(C312="Cluster 3",D312&gt;=55),"近端低層棧板區",IF(C312="Cluster 2","中段大貨位",IF(C312="Cluster 4","遠端彈性儲位","中段棧板區")))))</x:f>
        <x:v>非棧板管理</x:v>
      </x:c>
      <x:c r="R312" s="24" t="str">
        <x:f>IF(AND(H312="是",E312="是",N312&gt;0),"是","否")</x:f>
        <x:v>否</x:v>
      </x:c>
      <x:c r="S312" s="24" t="str">
        <x:f>IF(H312="否","非本次棧板儲位分析對象",IF(R312="是","旺季前需前移並增加棧板位",IF(N312&gt;0,"需增加棧板位",IF(N312&lt;0,"可釋放部分棧板位","維持現況"))))</x:f>
        <x:v>非本次棧板儲位分析對象</x:v>
      </x:c>
    </x:row>
    <x:row r="313">
      <x:c r="A313" s="24" t="str">
        <x:f>'500件商品'!A313</x:f>
        <x:v>PX0309</x:v>
      </x:c>
      <x:c r="B313" s="24" t="str">
        <x:f>'500件商品'!B313</x:f>
        <x:v>茶飲料整箱-補充包</x:v>
      </x:c>
      <x:c r="C313" s="24" t="str">
        <x:f>'500件商品'!D313</x:f>
        <x:v>Cluster 2</x:v>
      </x:c>
      <x:c r="D313" s="26" t="n">
        <x:f>'500件商品'!F313</x:f>
        <x:v>47</x:v>
      </x:c>
      <x:c r="E313" s="24" t="str">
        <x:f>'500件商品'!K313</x:f>
        <x:v>否</x:v>
      </x:c>
      <x:c r="F313" s="24" t="str">
        <x:f>'500件商品'!L313</x:f>
      </x:c>
      <x:c r="G313" s="28" t="n">
        <x:f>'500件商品'!M313</x:f>
        <x:v>1.3</x:v>
      </x:c>
      <x:c r="H313" s="24" t="str">
        <x:f>'500件商品'!P313</x:f>
        <x:v>是</x:v>
      </x:c>
      <x:c r="I313" s="26" t="n">
        <x:f>'500件商品'!N313</x:f>
        <x:v>433</x:v>
      </x:c>
      <x:c r="J313" s="26" t="n">
        <x:f>'500件商品'!O313</x:f>
        <x:v>48</x:v>
      </x:c>
      <x:c r="K313" s="26" t="n">
        <x:f>IF(H313="是",CEILING(I313/J313,1),0)</x:f>
        <x:v>10</x:v>
      </x:c>
      <x:c r="L313" s="26" t="n">
        <x:f>ROUND(I313*G313,0)</x:f>
        <x:v>563</x:v>
      </x:c>
      <x:c r="M313" s="26" t="n">
        <x:f>IF(H313="是",CEILING(L313/J313,1),0)</x:f>
        <x:v>12</x:v>
      </x:c>
      <x:c r="N313" s="26" t="n">
        <x:f>M313-K313</x:f>
        <x:v>2</x:v>
      </x:c>
      <x:c r="O313" s="24" t="str">
        <x:f>'500件商品'!Q313</x:f>
        <x:v>1區</x:v>
      </x:c>
      <x:c r="P313" s="26" t="n">
        <x:f>'500件商品'!R313</x:f>
        <x:v>44</x:v>
      </x:c>
      <x:c r="Q313" s="24" t="str">
        <x:f>IF(H313="否","非棧板管理",IF(AND(E313="是",N313&gt;0),"季節彈性前移區",IF(OR(C313="Cluster 3",D313&gt;=55),"近端低層棧板區",IF(C313="Cluster 2","中段大貨位",IF(C313="Cluster 4","遠端彈性儲位","中段棧板區")))))</x:f>
        <x:v>中段大貨位</x:v>
      </x:c>
      <x:c r="R313" s="24" t="str">
        <x:f>IF(AND(H313="是",E313="是",N313&gt;0),"是","否")</x:f>
        <x:v>否</x:v>
      </x:c>
      <x:c r="S313" s="24" t="str">
        <x:f>IF(H313="否","非本次棧板儲位分析對象",IF(R313="是","旺季前需前移並增加棧板位",IF(N313&gt;0,"需增加棧板位",IF(N313&lt;0,"可釋放部分棧板位","維持現況"))))</x:f>
        <x:v>需增加棧板位</x:v>
      </x:c>
    </x:row>
    <x:row r="314">
      <x:c r="A314" s="24" t="str">
        <x:f>'500件商品'!A314</x:f>
        <x:v>PX0310</x:v>
      </x:c>
      <x:c r="B314" s="24" t="str">
        <x:f>'500件商品'!B314</x:f>
        <x:v>蛋捲禮盒-小包裝</x:v>
      </x:c>
      <x:c r="C314" s="24" t="str">
        <x:f>'500件商品'!D314</x:f>
        <x:v>Cluster 4</x:v>
      </x:c>
      <x:c r="D314" s="26" t="n">
        <x:f>'500件商品'!F314</x:f>
        <x:v>12</x:v>
      </x:c>
      <x:c r="E314" s="24" t="str">
        <x:f>'500件商品'!K314</x:f>
        <x:v>是</x:v>
      </x:c>
      <x:c r="F314" s="24" t="str">
        <x:f>'500件商品'!L314</x:f>
        <x:v>1-2月</x:v>
      </x:c>
      <x:c r="G314" s="28" t="n">
        <x:f>'500件商品'!M314</x:f>
        <x:v>2</x:v>
      </x:c>
      <x:c r="H314" s="24" t="str">
        <x:f>'500件商品'!P314</x:f>
        <x:v>是</x:v>
      </x:c>
      <x:c r="I314" s="26" t="n">
        <x:f>'500件商品'!N314</x:f>
        <x:v>107</x:v>
      </x:c>
      <x:c r="J314" s="26" t="n">
        <x:f>'500件商品'!O314</x:f>
        <x:v>30</x:v>
      </x:c>
      <x:c r="K314" s="26" t="n">
        <x:f>IF(H314="是",CEILING(I314/J314,1),0)</x:f>
        <x:v>4</x:v>
      </x:c>
      <x:c r="L314" s="26" t="n">
        <x:f>ROUND(I314*G314,0)</x:f>
        <x:v>214</x:v>
      </x:c>
      <x:c r="M314" s="26" t="n">
        <x:f>IF(H314="是",CEILING(L314/J314,1),0)</x:f>
        <x:v>8</x:v>
      </x:c>
      <x:c r="N314" s="26" t="n">
        <x:f>M314-K314</x:f>
        <x:v>4</x:v>
      </x:c>
      <x:c r="O314" s="24" t="str">
        <x:f>'500件商品'!Q314</x:f>
        <x:v>K區</x:v>
      </x:c>
      <x:c r="P314" s="26" t="n">
        <x:f>'500件商品'!R314</x:f>
        <x:v>56</x:v>
      </x:c>
      <x:c r="Q314" s="24" t="str">
        <x:f>IF(H314="否","非棧板管理",IF(AND(E314="是",N314&gt;0),"季節彈性前移區",IF(OR(C314="Cluster 3",D314&gt;=55),"近端低層棧板區",IF(C314="Cluster 2","中段大貨位",IF(C314="Cluster 4","遠端彈性儲位","中段棧板區")))))</x:f>
        <x:v>季節彈性前移區</x:v>
      </x:c>
      <x:c r="R314" s="24" t="str">
        <x:f>IF(AND(H314="是",E314="是",N314&gt;0),"是","否")</x:f>
        <x:v>是</x:v>
      </x:c>
      <x:c r="S314" s="24" t="str">
        <x:f>IF(H314="否","非本次棧板儲位分析對象",IF(R314="是","旺季前需前移並增加棧板位",IF(N314&gt;0,"需增加棧板位",IF(N314&lt;0,"可釋放部分棧板位","維持現況"))))</x:f>
        <x:v>旺季前需前移並增加棧板位</x:v>
      </x:c>
    </x:row>
    <x:row r="315">
      <x:c r="A315" s="24" t="str">
        <x:f>'500件商品'!A315</x:f>
        <x:v>PX0311</x:v>
      </x:c>
      <x:c r="B315" s="24" t="str">
        <x:f>'500件商品'!B315</x:f>
        <x:v>暖暖包-小包裝</x:v>
      </x:c>
      <x:c r="C315" s="24" t="str">
        <x:f>'500件商品'!D315</x:f>
        <x:v>Cluster 4</x:v>
      </x:c>
      <x:c r="D315" s="26" t="n">
        <x:f>'500件商品'!F315</x:f>
        <x:v>15</x:v>
      </x:c>
      <x:c r="E315" s="24" t="str">
        <x:f>'500件商品'!K315</x:f>
        <x:v>是</x:v>
      </x:c>
      <x:c r="F315" s="24" t="str">
        <x:f>'500件商品'!L315</x:f>
        <x:v>11-2月</x:v>
      </x:c>
      <x:c r="G315" s="28" t="n">
        <x:f>'500件商品'!M315</x:f>
        <x:v>2.5</x:v>
      </x:c>
      <x:c r="H315" s="24" t="str">
        <x:f>'500件商品'!P315</x:f>
        <x:v>否</x:v>
      </x:c>
      <x:c r="I315" s="26" t="n">
        <x:f>'500件商品'!N315</x:f>
        <x:v>110</x:v>
      </x:c>
      <x:c r="J315" s="26" t="str">
        <x:f>'500件商品'!O315</x:f>
      </x:c>
      <x:c r="K315" s="26" t="n">
        <x:f>IF(H315="是",CEILING(I315/J315,1),0)</x:f>
        <x:v>0</x:v>
      </x:c>
      <x:c r="L315" s="26" t="n">
        <x:f>ROUND(I315*G315,0)</x:f>
        <x:v>275</x:v>
      </x:c>
      <x:c r="M315" s="26" t="n">
        <x:f>IF(H315="是",CEILING(L315/J315,1),0)</x:f>
        <x:v>0</x:v>
      </x:c>
      <x:c r="N315" s="26" t="n">
        <x:f>M315-K315</x:f>
        <x:v>0</x:v>
      </x:c>
      <x:c r="O315" s="24" t="str">
        <x:f>'500件商品'!Q315</x:f>
        <x:v>遠端區</x:v>
      </x:c>
      <x:c r="P315" s="26" t="n">
        <x:f>'500件商品'!R315</x:f>
        <x:v>64</x:v>
      </x:c>
      <x:c r="Q315" s="24" t="str">
        <x:f>IF(H315="否","非棧板管理",IF(AND(E315="是",N315&gt;0),"季節彈性前移區",IF(OR(C315="Cluster 3",D315&gt;=55),"近端低層棧板區",IF(C315="Cluster 2","中段大貨位",IF(C315="Cluster 4","遠端彈性儲位","中段棧板區")))))</x:f>
        <x:v>非棧板管理</x:v>
      </x:c>
      <x:c r="R315" s="24" t="str">
        <x:f>IF(AND(H315="是",E315="是",N315&gt;0),"是","否")</x:f>
        <x:v>否</x:v>
      </x:c>
      <x:c r="S315" s="24" t="str">
        <x:f>IF(H315="否","非本次棧板儲位分析對象",IF(R315="是","旺季前需前移並增加棧板位",IF(N315&gt;0,"需增加棧板位",IF(N315&lt;0,"可釋放部分棧板位","維持現況"))))</x:f>
        <x:v>非本次棧板儲位分析對象</x:v>
      </x:c>
    </x:row>
    <x:row r="316">
      <x:c r="A316" s="24" t="str">
        <x:f>'500件商品'!A316</x:f>
        <x:v>PX0312</x:v>
      </x:c>
      <x:c r="B316" s="24" t="str">
        <x:f>'500件商品'!B316</x:f>
        <x:v>乾電池組-小包裝</x:v>
      </x:c>
      <x:c r="C316" s="24" t="str">
        <x:f>'500件商品'!D316</x:f>
        <x:v>Cluster 5</x:v>
      </x:c>
      <x:c r="D316" s="26" t="n">
        <x:f>'500件商品'!F316</x:f>
        <x:v>30</x:v>
      </x:c>
      <x:c r="E316" s="24" t="str">
        <x:f>'500件商品'!K316</x:f>
        <x:v>否</x:v>
      </x:c>
      <x:c r="F316" s="24" t="str">
        <x:f>'500件商品'!L316</x:f>
      </x:c>
      <x:c r="G316" s="28" t="n">
        <x:f>'500件商品'!M316</x:f>
        <x:v>1</x:v>
      </x:c>
      <x:c r="H316" s="24" t="str">
        <x:f>'500件商品'!P316</x:f>
        <x:v>否</x:v>
      </x:c>
      <x:c r="I316" s="26" t="n">
        <x:f>'500件商品'!N316</x:f>
        <x:v>140</x:v>
      </x:c>
      <x:c r="J316" s="26" t="str">
        <x:f>'500件商品'!O316</x:f>
      </x:c>
      <x:c r="K316" s="26" t="n">
        <x:f>IF(H316="是",CEILING(I316/J316,1),0)</x:f>
        <x:v>0</x:v>
      </x:c>
      <x:c r="L316" s="26" t="n">
        <x:f>ROUND(I316*G316,0)</x:f>
        <x:v>140</x:v>
      </x:c>
      <x:c r="M316" s="26" t="n">
        <x:f>IF(H316="是",CEILING(L316/J316,1),0)</x:f>
        <x:v>0</x:v>
      </x:c>
      <x:c r="N316" s="26" t="n">
        <x:f>M316-K316</x:f>
        <x:v>0</x:v>
      </x:c>
      <x:c r="O316" s="24" t="str">
        <x:f>'500件商品'!Q316</x:f>
        <x:v>1區</x:v>
      </x:c>
      <x:c r="P316" s="26" t="n">
        <x:f>'500件商品'!R316</x:f>
        <x:v>27</x:v>
      </x:c>
      <x:c r="Q316" s="24" t="str">
        <x:f>IF(H316="否","非棧板管理",IF(AND(E316="是",N316&gt;0),"季節彈性前移區",IF(OR(C316="Cluster 3",D316&gt;=55),"近端低層棧板區",IF(C316="Cluster 2","中段大貨位",IF(C316="Cluster 4","遠端彈性儲位","中段棧板區")))))</x:f>
        <x:v>非棧板管理</x:v>
      </x:c>
      <x:c r="R316" s="24" t="str">
        <x:f>IF(AND(H316="是",E316="是",N316&gt;0),"是","否")</x:f>
        <x:v>否</x:v>
      </x:c>
      <x:c r="S316" s="24" t="str">
        <x:f>IF(H316="否","非本次棧板儲位分析對象",IF(R316="是","旺季前需前移並增加棧板位",IF(N316&gt;0,"需增加棧板位",IF(N316&lt;0,"可釋放部分棧板位","維持現況"))))</x:f>
        <x:v>非本次棧板儲位分析對象</x:v>
      </x:c>
    </x:row>
    <x:row r="317">
      <x:c r="A317" s="24" t="str">
        <x:f>'500件商品'!A317</x:f>
        <x:v>PX0313</x:v>
      </x:c>
      <x:c r="B317" s="24" t="str">
        <x:f>'500件商品'!B317</x:f>
        <x:v>垃圾袋-促銷組</x:v>
      </x:c>
      <x:c r="C317" s="24" t="str">
        <x:f>'500件商品'!D317</x:f>
        <x:v>Cluster 2</x:v>
      </x:c>
      <x:c r="D317" s="26" t="n">
        <x:f>'500件商品'!F317</x:f>
        <x:v>8</x:v>
      </x:c>
      <x:c r="E317" s="24" t="str">
        <x:f>'500件商品'!K317</x:f>
        <x:v>否</x:v>
      </x:c>
      <x:c r="F317" s="24" t="str">
        <x:f>'500件商品'!L317</x:f>
      </x:c>
      <x:c r="G317" s="28" t="n">
        <x:f>'500件商品'!M317</x:f>
        <x:v>1</x:v>
      </x:c>
      <x:c r="H317" s="24" t="str">
        <x:f>'500件商品'!P317</x:f>
        <x:v>是</x:v>
      </x:c>
      <x:c r="I317" s="26" t="n">
        <x:f>'500件商品'!N317</x:f>
        <x:v>66</x:v>
      </x:c>
      <x:c r="J317" s="26" t="n">
        <x:f>'500件商品'!O317</x:f>
        <x:v>18</x:v>
      </x:c>
      <x:c r="K317" s="26" t="n">
        <x:f>IF(H317="是",CEILING(I317/J317,1),0)</x:f>
        <x:v>4</x:v>
      </x:c>
      <x:c r="L317" s="26" t="n">
        <x:f>ROUND(I317*G317,0)</x:f>
        <x:v>66</x:v>
      </x:c>
      <x:c r="M317" s="26" t="n">
        <x:f>IF(H317="是",CEILING(L317/J317,1),0)</x:f>
        <x:v>4</x:v>
      </x:c>
      <x:c r="N317" s="26" t="n">
        <x:f>M317-K317</x:f>
        <x:v>0</x:v>
      </x:c>
      <x:c r="O317" s="24" t="str">
        <x:f>'500件商品'!Q317</x:f>
        <x:v>1區</x:v>
      </x:c>
      <x:c r="P317" s="26" t="n">
        <x:f>'500件商品'!R317</x:f>
        <x:v>23</x:v>
      </x:c>
      <x:c r="Q317" s="24" t="str">
        <x:f>IF(H317="否","非棧板管理",IF(AND(E317="是",N317&gt;0),"季節彈性前移區",IF(OR(C317="Cluster 3",D317&gt;=55),"近端低層棧板區",IF(C317="Cluster 2","中段大貨位",IF(C317="Cluster 4","遠端彈性儲位","中段棧板區")))))</x:f>
        <x:v>中段大貨位</x:v>
      </x:c>
      <x:c r="R317" s="24" t="str">
        <x:f>IF(AND(H317="是",E317="是",N317&gt;0),"是","否")</x:f>
        <x:v>否</x:v>
      </x:c>
      <x:c r="S317" s="24" t="str">
        <x:f>IF(H317="否","非本次棧板儲位分析對象",IF(R317="是","旺季前需前移並增加棧板位",IF(N317&gt;0,"需增加棧板位",IF(N317&lt;0,"可釋放部分棧板位","維持現況"))))</x:f>
        <x:v>維持現況</x:v>
      </x:c>
    </x:row>
    <x:row r="318">
      <x:c r="A318" s="24" t="str">
        <x:f>'500件商品'!A318</x:f>
        <x:v>PX0314</x:v>
      </x:c>
      <x:c r="B318" s="24" t="str">
        <x:f>'500件商品'!B318</x:f>
        <x:v>捲筒衛生紙-家庭號</x:v>
      </x:c>
      <x:c r="C318" s="24" t="str">
        <x:f>'500件商品'!D318</x:f>
        <x:v>Cluster 2</x:v>
      </x:c>
      <x:c r="D318" s="26" t="n">
        <x:f>'500件商品'!F318</x:f>
        <x:v>31</x:v>
      </x:c>
      <x:c r="E318" s="24" t="str">
        <x:f>'500件商品'!K318</x:f>
        <x:v>否</x:v>
      </x:c>
      <x:c r="F318" s="24" t="str">
        <x:f>'500件商品'!L318</x:f>
      </x:c>
      <x:c r="G318" s="28" t="n">
        <x:f>'500件商品'!M318</x:f>
        <x:v>1</x:v>
      </x:c>
      <x:c r="H318" s="24" t="str">
        <x:f>'500件商品'!P318</x:f>
        <x:v>是</x:v>
      </x:c>
      <x:c r="I318" s="26" t="n">
        <x:f>'500件商品'!N318</x:f>
        <x:v>173</x:v>
      </x:c>
      <x:c r="J318" s="26" t="n">
        <x:f>'500件商品'!O318</x:f>
        <x:v>30</x:v>
      </x:c>
      <x:c r="K318" s="26" t="n">
        <x:f>IF(H318="是",CEILING(I318/J318,1),0)</x:f>
        <x:v>6</x:v>
      </x:c>
      <x:c r="L318" s="26" t="n">
        <x:f>ROUND(I318*G318,0)</x:f>
        <x:v>173</x:v>
      </x:c>
      <x:c r="M318" s="26" t="n">
        <x:f>IF(H318="是",CEILING(L318/J318,1),0)</x:f>
        <x:v>6</x:v>
      </x:c>
      <x:c r="N318" s="26" t="n">
        <x:f>M318-K318</x:f>
        <x:v>0</x:v>
      </x:c>
      <x:c r="O318" s="24" t="str">
        <x:f>'500件商品'!Q318</x:f>
        <x:v>彈性區</x:v>
      </x:c>
      <x:c r="P318" s="26" t="n">
        <x:f>'500件商品'!R318</x:f>
        <x:v>65</x:v>
      </x:c>
      <x:c r="Q318" s="24" t="str">
        <x:f>IF(H318="否","非棧板管理",IF(AND(E318="是",N318&gt;0),"季節彈性前移區",IF(OR(C318="Cluster 3",D318&gt;=55),"近端低層棧板區",IF(C318="Cluster 2","中段大貨位",IF(C318="Cluster 4","遠端彈性儲位","中段棧板區")))))</x:f>
        <x:v>中段大貨位</x:v>
      </x:c>
      <x:c r="R318" s="24" t="str">
        <x:f>IF(AND(H318="是",E318="是",N318&gt;0),"是","否")</x:f>
        <x:v>否</x:v>
      </x:c>
      <x:c r="S318" s="24" t="str">
        <x:f>IF(H318="否","非本次棧板儲位分析對象",IF(R318="是","旺季前需前移並增加棧板位",IF(N318&gt;0,"需增加棧板位",IF(N318&lt;0,"可釋放部分棧板位","維持現況"))))</x:f>
        <x:v>維持現況</x:v>
      </x:c>
    </x:row>
    <x:row r="319">
      <x:c r="A319" s="24" t="str">
        <x:f>'500件商品'!A319</x:f>
        <x:v>PX0315</x:v>
      </x:c>
      <x:c r="B319" s="24" t="str">
        <x:f>'500件商品'!B319</x:f>
        <x:v>麥片箱-小包裝</x:v>
      </x:c>
      <x:c r="C319" s="24" t="str">
        <x:f>'500件商品'!D319</x:f>
        <x:v>Cluster 4</x:v>
      </x:c>
      <x:c r="D319" s="26" t="n">
        <x:f>'500件商品'!F319</x:f>
        <x:v>22</x:v>
      </x:c>
      <x:c r="E319" s="24" t="str">
        <x:f>'500件商品'!K319</x:f>
        <x:v>是</x:v>
      </x:c>
      <x:c r="F319" s="24" t="str">
        <x:f>'500件商品'!L319</x:f>
        <x:v>旺季</x:v>
      </x:c>
      <x:c r="G319" s="28" t="n">
        <x:f>'500件商品'!M319</x:f>
        <x:v>2.5</x:v>
      </x:c>
      <x:c r="H319" s="24" t="str">
        <x:f>'500件商品'!P319</x:f>
        <x:v>否</x:v>
      </x:c>
      <x:c r="I319" s="26" t="n">
        <x:f>'500件商品'!N319</x:f>
        <x:v>88</x:v>
      </x:c>
      <x:c r="J319" s="26" t="str">
        <x:f>'500件商品'!O319</x:f>
      </x:c>
      <x:c r="K319" s="26" t="n">
        <x:f>IF(H319="是",CEILING(I319/J319,1),0)</x:f>
        <x:v>0</x:v>
      </x:c>
      <x:c r="L319" s="26" t="n">
        <x:f>ROUND(I319*G319,0)</x:f>
        <x:v>220</x:v>
      </x:c>
      <x:c r="M319" s="26" t="n">
        <x:f>IF(H319="是",CEILING(L319/J319,1),0)</x:f>
        <x:v>0</x:v>
      </x:c>
      <x:c r="N319" s="26" t="n">
        <x:f>M319-K319</x:f>
        <x:v>0</x:v>
      </x:c>
      <x:c r="O319" s="24" t="str">
        <x:f>'500件商品'!Q319</x:f>
        <x:v>1區</x:v>
      </x:c>
      <x:c r="P319" s="26" t="n">
        <x:f>'500件商品'!R319</x:f>
        <x:v>44</x:v>
      </x:c>
      <x:c r="Q319" s="24" t="str">
        <x:f>IF(H319="否","非棧板管理",IF(AND(E319="是",N319&gt;0),"季節彈性前移區",IF(OR(C319="Cluster 3",D319&gt;=55),"近端低層棧板區",IF(C319="Cluster 2","中段大貨位",IF(C319="Cluster 4","遠端彈性儲位","中段棧板區")))))</x:f>
        <x:v>非棧板管理</x:v>
      </x:c>
      <x:c r="R319" s="24" t="str">
        <x:f>IF(AND(H319="是",E319="是",N319&gt;0),"是","否")</x:f>
        <x:v>否</x:v>
      </x:c>
      <x:c r="S319" s="24" t="str">
        <x:f>IF(H319="否","非本次棧板儲位分析對象",IF(R319="是","旺季前需前移並增加棧板位",IF(N319&gt;0,"需增加棧板位",IF(N319&lt;0,"可釋放部分棧板位","維持現況"))))</x:f>
        <x:v>非本次棧板儲位分析對象</x:v>
      </x:c>
    </x:row>
    <x:row r="320">
      <x:c r="A320" s="24" t="str">
        <x:f>'500件商品'!A320</x:f>
        <x:v>PX0316</x:v>
      </x:c>
      <x:c r="B320" s="24" t="str">
        <x:f>'500件商品'!B320</x:f>
        <x:v>鋁箔紙-促銷組</x:v>
      </x:c>
      <x:c r="C320" s="24" t="str">
        <x:f>'500件商品'!D320</x:f>
        <x:v>Cluster 5</x:v>
      </x:c>
      <x:c r="D320" s="26" t="n">
        <x:f>'500件商品'!F320</x:f>
        <x:v>4</x:v>
      </x:c>
      <x:c r="E320" s="24" t="str">
        <x:f>'500件商品'!K320</x:f>
        <x:v>否</x:v>
      </x:c>
      <x:c r="F320" s="24" t="str">
        <x:f>'500件商品'!L320</x:f>
      </x:c>
      <x:c r="G320" s="28" t="n">
        <x:f>'500件商品'!M320</x:f>
        <x:v>1</x:v>
      </x:c>
      <x:c r="H320" s="24" t="str">
        <x:f>'500件商品'!P320</x:f>
        <x:v>否</x:v>
      </x:c>
      <x:c r="I320" s="26" t="n">
        <x:f>'500件商品'!N320</x:f>
        <x:v>29</x:v>
      </x:c>
      <x:c r="J320" s="26" t="str">
        <x:f>'500件商品'!O320</x:f>
      </x:c>
      <x:c r="K320" s="26" t="n">
        <x:f>IF(H320="是",CEILING(I320/J320,1),0)</x:f>
        <x:v>0</x:v>
      </x:c>
      <x:c r="L320" s="26" t="n">
        <x:f>ROUND(I320*G320,0)</x:f>
        <x:v>29</x:v>
      </x:c>
      <x:c r="M320" s="26" t="n">
        <x:f>IF(H320="是",CEILING(L320/J320,1),0)</x:f>
        <x:v>0</x:v>
      </x:c>
      <x:c r="N320" s="26" t="n">
        <x:f>M320-K320</x:f>
        <x:v>0</x:v>
      </x:c>
      <x:c r="O320" s="24" t="str">
        <x:f>'500件商品'!Q320</x:f>
        <x:v>遠端區</x:v>
      </x:c>
      <x:c r="P320" s="26" t="n">
        <x:f>'500件商品'!R320</x:f>
        <x:v>62</x:v>
      </x:c>
      <x:c r="Q320" s="24" t="str">
        <x:f>IF(H320="否","非棧板管理",IF(AND(E320="是",N320&gt;0),"季節彈性前移區",IF(OR(C320="Cluster 3",D320&gt;=55),"近端低層棧板區",IF(C320="Cluster 2","中段大貨位",IF(C320="Cluster 4","遠端彈性儲位","中段棧板區")))))</x:f>
        <x:v>非棧板管理</x:v>
      </x:c>
      <x:c r="R320" s="24" t="str">
        <x:f>IF(AND(H320="是",E320="是",N320&gt;0),"是","否")</x:f>
        <x:v>否</x:v>
      </x:c>
      <x:c r="S320" s="24" t="str">
        <x:f>IF(H320="否","非本次棧板儲位分析對象",IF(R320="是","旺季前需前移並增加棧板位",IF(N320&gt;0,"需增加棧板位",IF(N320&lt;0,"可釋放部分棧板位","維持現況"))))</x:f>
        <x:v>非本次棧板儲位分析對象</x:v>
      </x:c>
    </x:row>
    <x:row r="321">
      <x:c r="A321" s="24" t="str">
        <x:f>'500件商品'!A321</x:f>
        <x:v>PX0317</x:v>
      </x:c>
      <x:c r="B321" s="24" t="str">
        <x:f>'500件商品'!B321</x:f>
        <x:v>年節禮盒組-家庭號</x:v>
      </x:c>
      <x:c r="C321" s="24" t="str">
        <x:f>'500件商品'!D321</x:f>
        <x:v>Cluster 4</x:v>
      </x:c>
      <x:c r="D321" s="26" t="n">
        <x:f>'500件商品'!F321</x:f>
        <x:v>9</x:v>
      </x:c>
      <x:c r="E321" s="24" t="str">
        <x:f>'500件商品'!K321</x:f>
        <x:v>是</x:v>
      </x:c>
      <x:c r="F321" s="24" t="str">
        <x:f>'500件商品'!L321</x:f>
        <x:v>1-2月</x:v>
      </x:c>
      <x:c r="G321" s="28" t="n">
        <x:f>'500件商品'!M321</x:f>
        <x:v>2</x:v>
      </x:c>
      <x:c r="H321" s="24" t="str">
        <x:f>'500件商品'!P321</x:f>
        <x:v>是</x:v>
      </x:c>
      <x:c r="I321" s="26" t="n">
        <x:f>'500件商品'!N321</x:f>
        <x:v>75</x:v>
      </x:c>
      <x:c r="J321" s="26" t="n">
        <x:f>'500件商品'!O321</x:f>
        <x:v>30</x:v>
      </x:c>
      <x:c r="K321" s="26" t="n">
        <x:f>IF(H321="是",CEILING(I321/J321,1),0)</x:f>
        <x:v>3</x:v>
      </x:c>
      <x:c r="L321" s="26" t="n">
        <x:f>ROUND(I321*G321,0)</x:f>
        <x:v>150</x:v>
      </x:c>
      <x:c r="M321" s="26" t="n">
        <x:f>IF(H321="是",CEILING(L321/J321,1),0)</x:f>
        <x:v>5</x:v>
      </x:c>
      <x:c r="N321" s="26" t="n">
        <x:f>M321-K321</x:f>
        <x:v>2</x:v>
      </x:c>
      <x:c r="O321" s="24" t="str">
        <x:f>'500件商品'!Q321</x:f>
        <x:v>A區</x:v>
      </x:c>
      <x:c r="P321" s="26" t="n">
        <x:f>'500件商品'!R321</x:f>
        <x:v>19</x:v>
      </x:c>
      <x:c r="Q321" s="24" t="str">
        <x:f>IF(H321="否","非棧板管理",IF(AND(E321="是",N321&gt;0),"季節彈性前移區",IF(OR(C321="Cluster 3",D321&gt;=55),"近端低層棧板區",IF(C321="Cluster 2","中段大貨位",IF(C321="Cluster 4","遠端彈性儲位","中段棧板區")))))</x:f>
        <x:v>季節彈性前移區</x:v>
      </x:c>
      <x:c r="R321" s="24" t="str">
        <x:f>IF(AND(H321="是",E321="是",N321&gt;0),"是","否")</x:f>
        <x:v>是</x:v>
      </x:c>
      <x:c r="S321" s="24" t="str">
        <x:f>IF(H321="否","非本次棧板儲位分析對象",IF(R321="是","旺季前需前移並增加棧板位",IF(N321&gt;0,"需增加棧板位",IF(N321&lt;0,"可釋放部分棧板位","維持現況"))))</x:f>
        <x:v>旺季前需前移並增加棧板位</x:v>
      </x:c>
    </x:row>
    <x:row r="322">
      <x:c r="A322" s="24" t="str">
        <x:f>'500件商品'!A322</x:f>
        <x:v>PX0318</x:v>
      </x:c>
      <x:c r="B322" s="24" t="str">
        <x:f>'500件商品'!B322</x:f>
        <x:v>寵物尿布墊-促銷組</x:v>
      </x:c>
      <x:c r="C322" s="24" t="str">
        <x:f>'500件商品'!D322</x:f>
        <x:v>Cluster 2</x:v>
      </x:c>
      <x:c r="D322" s="26" t="n">
        <x:f>'500件商品'!F322</x:f>
        <x:v>33</x:v>
      </x:c>
      <x:c r="E322" s="24" t="str">
        <x:f>'500件商品'!K322</x:f>
        <x:v>否</x:v>
      </x:c>
      <x:c r="F322" s="24" t="str">
        <x:f>'500件商品'!L322</x:f>
      </x:c>
      <x:c r="G322" s="28" t="n">
        <x:f>'500件商品'!M322</x:f>
        <x:v>1</x:v>
      </x:c>
      <x:c r="H322" s="24" t="str">
        <x:f>'500件商品'!P322</x:f>
        <x:v>是</x:v>
      </x:c>
      <x:c r="I322" s="26" t="n">
        <x:f>'500件商品'!N322</x:f>
        <x:v>231</x:v>
      </x:c>
      <x:c r="J322" s="26" t="n">
        <x:f>'500件商品'!O322</x:f>
        <x:v>20</x:v>
      </x:c>
      <x:c r="K322" s="26" t="n">
        <x:f>IF(H322="是",CEILING(I322/J322,1),0)</x:f>
        <x:v>12</x:v>
      </x:c>
      <x:c r="L322" s="26" t="n">
        <x:f>ROUND(I322*G322,0)</x:f>
        <x:v>231</x:v>
      </x:c>
      <x:c r="M322" s="26" t="n">
        <x:f>IF(H322="是",CEILING(L322/J322,1),0)</x:f>
        <x:v>12</x:v>
      </x:c>
      <x:c r="N322" s="26" t="n">
        <x:f>M322-K322</x:f>
        <x:v>0</x:v>
      </x:c>
      <x:c r="O322" s="24" t="str">
        <x:f>'500件商品'!Q322</x:f>
        <x:v>1區</x:v>
      </x:c>
      <x:c r="P322" s="26" t="n">
        <x:f>'500件商品'!R322</x:f>
        <x:v>20</x:v>
      </x:c>
      <x:c r="Q322" s="24" t="str">
        <x:f>IF(H322="否","非棧板管理",IF(AND(E322="是",N322&gt;0),"季節彈性前移區",IF(OR(C322="Cluster 3",D322&gt;=55),"近端低層棧板區",IF(C322="Cluster 2","中段大貨位",IF(C322="Cluster 4","遠端彈性儲位","中段棧板區")))))</x:f>
        <x:v>中段大貨位</x:v>
      </x:c>
      <x:c r="R322" s="24" t="str">
        <x:f>IF(AND(H322="是",E322="是",N322&gt;0),"是","否")</x:f>
        <x:v>否</x:v>
      </x:c>
      <x:c r="S322" s="24" t="str">
        <x:f>IF(H322="否","非本次棧板儲位分析對象",IF(R322="是","旺季前需前移並增加棧板位",IF(N322&gt;0,"需增加棧板位",IF(N322&lt;0,"可釋放部分棧板位","維持現況"))))</x:f>
        <x:v>維持現況</x:v>
      </x:c>
    </x:row>
    <x:row r="323">
      <x:c r="A323" s="24" t="str">
        <x:f>'500件商品'!A323</x:f>
        <x:v>PX0319</x:v>
      </x:c>
      <x:c r="B323" s="24" t="str">
        <x:f>'500件商品'!B323</x:f>
        <x:v>面紙箱-箱裝</x:v>
      </x:c>
      <x:c r="C323" s="24" t="str">
        <x:f>'500件商品'!D323</x:f>
        <x:v>Cluster 5</x:v>
      </x:c>
      <x:c r="D323" s="26" t="n">
        <x:f>'500件商品'!F323</x:f>
        <x:v>61</x:v>
      </x:c>
      <x:c r="E323" s="24" t="str">
        <x:f>'500件商品'!K323</x:f>
        <x:v>否</x:v>
      </x:c>
      <x:c r="F323" s="24" t="str">
        <x:f>'500件商品'!L323</x:f>
      </x:c>
      <x:c r="G323" s="28" t="n">
        <x:f>'500件商品'!M323</x:f>
        <x:v>1</x:v>
      </x:c>
      <x:c r="H323" s="24" t="str">
        <x:f>'500件商品'!P323</x:f>
        <x:v>是</x:v>
      </x:c>
      <x:c r="I323" s="26" t="n">
        <x:f>'500件商品'!N323</x:f>
        <x:v>475</x:v>
      </x:c>
      <x:c r="J323" s="26" t="n">
        <x:f>'500件商品'!O323</x:f>
        <x:v>80</x:v>
      </x:c>
      <x:c r="K323" s="26" t="n">
        <x:f>IF(H323="是",CEILING(I323/J323,1),0)</x:f>
        <x:v>6</x:v>
      </x:c>
      <x:c r="L323" s="26" t="n">
        <x:f>ROUND(I323*G323,0)</x:f>
        <x:v>475</x:v>
      </x:c>
      <x:c r="M323" s="26" t="n">
        <x:f>IF(H323="是",CEILING(L323/J323,1),0)</x:f>
        <x:v>6</x:v>
      </x:c>
      <x:c r="N323" s="26" t="n">
        <x:f>M323-K323</x:f>
        <x:v>0</x:v>
      </x:c>
      <x:c r="O323" s="24" t="str">
        <x:f>'500件商品'!Q323</x:f>
        <x:v>遠端區</x:v>
      </x:c>
      <x:c r="P323" s="26" t="n">
        <x:f>'500件商品'!R323</x:f>
        <x:v>58</x:v>
      </x:c>
      <x:c r="Q323" s="24" t="str">
        <x:f>IF(H323="否","非棧板管理",IF(AND(E323="是",N323&gt;0),"季節彈性前移區",IF(OR(C323="Cluster 3",D323&gt;=55),"近端低層棧板區",IF(C323="Cluster 2","中段大貨位",IF(C323="Cluster 4","遠端彈性儲位","中段棧板區")))))</x:f>
        <x:v>近端低層棧板區</x:v>
      </x:c>
      <x:c r="R323" s="24" t="str">
        <x:f>IF(AND(H323="是",E323="是",N323&gt;0),"是","否")</x:f>
        <x:v>否</x:v>
      </x:c>
      <x:c r="S323" s="24" t="str">
        <x:f>IF(H323="否","非本次棧板儲位分析對象",IF(R323="是","旺季前需前移並增加棧板位",IF(N323&gt;0,"需增加棧板位",IF(N323&lt;0,"可釋放部分棧板位","維持現況"))))</x:f>
        <x:v>維持現況</x:v>
      </x:c>
    </x:row>
    <x:row r="324">
      <x:c r="A324" s="24" t="str">
        <x:f>'500件商品'!A324</x:f>
        <x:v>PX0320</x:v>
      </x:c>
      <x:c r="B324" s="24" t="str">
        <x:f>'500件商品'!B324</x:f>
        <x:v>抽取式衛生紙-小包裝</x:v>
      </x:c>
      <x:c r="C324" s="24" t="str">
        <x:f>'500件商品'!D324</x:f>
        <x:v>Cluster 2</x:v>
      </x:c>
      <x:c r="D324" s="26" t="n">
        <x:f>'500件商品'!F324</x:f>
        <x:v>12</x:v>
      </x:c>
      <x:c r="E324" s="24" t="str">
        <x:f>'500件商品'!K324</x:f>
        <x:v>否</x:v>
      </x:c>
      <x:c r="F324" s="24" t="str">
        <x:f>'500件商品'!L324</x:f>
      </x:c>
      <x:c r="G324" s="28" t="n">
        <x:f>'500件商品'!M324</x:f>
        <x:v>1</x:v>
      </x:c>
      <x:c r="H324" s="24" t="str">
        <x:f>'500件商品'!P324</x:f>
        <x:v>是</x:v>
      </x:c>
      <x:c r="I324" s="26" t="n">
        <x:f>'500件商品'!N324</x:f>
        <x:v>66</x:v>
      </x:c>
      <x:c r="J324" s="26" t="n">
        <x:f>'500件商品'!O324</x:f>
        <x:v>24</x:v>
      </x:c>
      <x:c r="K324" s="26" t="n">
        <x:f>IF(H324="是",CEILING(I324/J324,1),0)</x:f>
        <x:v>3</x:v>
      </x:c>
      <x:c r="L324" s="26" t="n">
        <x:f>ROUND(I324*G324,0)</x:f>
        <x:v>66</x:v>
      </x:c>
      <x:c r="M324" s="26" t="n">
        <x:f>IF(H324="是",CEILING(L324/J324,1),0)</x:f>
        <x:v>3</x:v>
      </x:c>
      <x:c r="N324" s="26" t="n">
        <x:f>M324-K324</x:f>
        <x:v>0</x:v>
      </x:c>
      <x:c r="O324" s="24" t="str">
        <x:f>'500件商品'!Q324</x:f>
        <x:v>彈性區</x:v>
      </x:c>
      <x:c r="P324" s="26" t="n">
        <x:f>'500件商品'!R324</x:f>
        <x:v>61</x:v>
      </x:c>
      <x:c r="Q324" s="24" t="str">
        <x:f>IF(H324="否","非棧板管理",IF(AND(E324="是",N324&gt;0),"季節彈性前移區",IF(OR(C324="Cluster 3",D324&gt;=55),"近端低層棧板區",IF(C324="Cluster 2","中段大貨位",IF(C324="Cluster 4","遠端彈性儲位","中段棧板區")))))</x:f>
        <x:v>中段大貨位</x:v>
      </x:c>
      <x:c r="R324" s="24" t="str">
        <x:f>IF(AND(H324="是",E324="是",N324&gt;0),"是","否")</x:f>
        <x:v>否</x:v>
      </x:c>
      <x:c r="S324" s="24" t="str">
        <x:f>IF(H324="否","非本次棧板儲位分析對象",IF(R324="是","旺季前需前移並增加棧板位",IF(N324&gt;0,"需增加棧板位",IF(N324&lt;0,"可釋放部分棧板位","維持現況"))))</x:f>
        <x:v>維持現況</x:v>
      </x:c>
    </x:row>
    <x:row r="325">
      <x:c r="A325" s="24" t="str">
        <x:f>'500件商品'!A325</x:f>
        <x:v>PX0321</x:v>
      </x:c>
      <x:c r="B325" s="24" t="str">
        <x:f>'500件商品'!B325</x:f>
        <x:v>牙膏組-促銷組</x:v>
      </x:c>
      <x:c r="C325" s="24" t="str">
        <x:f>'500件商品'!D325</x:f>
        <x:v>Cluster 5</x:v>
      </x:c>
      <x:c r="D325" s="26" t="n">
        <x:f>'500件商品'!F325</x:f>
        <x:v>51</x:v>
      </x:c>
      <x:c r="E325" s="24" t="str">
        <x:f>'500件商品'!K325</x:f>
        <x:v>否</x:v>
      </x:c>
      <x:c r="F325" s="24" t="str">
        <x:f>'500件商品'!L325</x:f>
      </x:c>
      <x:c r="G325" s="28" t="n">
        <x:f>'500件商品'!M325</x:f>
        <x:v>1</x:v>
      </x:c>
      <x:c r="H325" s="24" t="str">
        <x:f>'500件商品'!P325</x:f>
        <x:v>是</x:v>
      </x:c>
      <x:c r="I325" s="26" t="n">
        <x:f>'500件商品'!N325</x:f>
        <x:v>463</x:v>
      </x:c>
      <x:c r="J325" s="26" t="n">
        <x:f>'500件商品'!O325</x:f>
        <x:v>80</x:v>
      </x:c>
      <x:c r="K325" s="26" t="n">
        <x:f>IF(H325="是",CEILING(I325/J325,1),0)</x:f>
        <x:v>6</x:v>
      </x:c>
      <x:c r="L325" s="26" t="n">
        <x:f>ROUND(I325*G325,0)</x:f>
        <x:v>463</x:v>
      </x:c>
      <x:c r="M325" s="26" t="n">
        <x:f>IF(H325="是",CEILING(L325/J325,1),0)</x:f>
        <x:v>6</x:v>
      </x:c>
      <x:c r="N325" s="26" t="n">
        <x:f>M325-K325</x:f>
        <x:v>0</x:v>
      </x:c>
      <x:c r="O325" s="24" t="str">
        <x:f>'500件商品'!Q325</x:f>
        <x:v>K區</x:v>
      </x:c>
      <x:c r="P325" s="26" t="n">
        <x:f>'500件商品'!R325</x:f>
        <x:v>46</x:v>
      </x:c>
      <x:c r="Q325" s="24" t="str">
        <x:f>IF(H325="否","非棧板管理",IF(AND(E325="是",N325&gt;0),"季節彈性前移區",IF(OR(C325="Cluster 3",D325&gt;=55),"近端低層棧板區",IF(C325="Cluster 2","中段大貨位",IF(C325="Cluster 4","遠端彈性儲位","中段棧板區")))))</x:f>
        <x:v>中段棧板區</x:v>
      </x:c>
      <x:c r="R325" s="24" t="str">
        <x:f>IF(AND(H325="是",E325="是",N325&gt;0),"是","否")</x:f>
        <x:v>否</x:v>
      </x:c>
      <x:c r="S325" s="24" t="str">
        <x:f>IF(H325="否","非本次棧板儲位分析對象",IF(R325="是","旺季前需前移並增加棧板位",IF(N325&gt;0,"需增加棧板位",IF(N325&lt;0,"可釋放部分棧板位","維持現況"))))</x:f>
        <x:v>維持現況</x:v>
      </x:c>
    </x:row>
    <x:row r="326">
      <x:c r="A326" s="24" t="str">
        <x:f>'500件商品'!A326</x:f>
        <x:v>PX0322</x:v>
      </x:c>
      <x:c r="B326" s="24" t="str">
        <x:f>'500件商品'!B326</x:f>
        <x:v>端午禮盒-補充包</x:v>
      </x:c>
      <x:c r="C326" s="24" t="str">
        <x:f>'500件商品'!D326</x:f>
        <x:v>Cluster 4</x:v>
      </x:c>
      <x:c r="D326" s="26" t="n">
        <x:f>'500件商品'!F326</x:f>
        <x:v>19</x:v>
      </x:c>
      <x:c r="E326" s="24" t="str">
        <x:f>'500件商品'!K326</x:f>
        <x:v>是</x:v>
      </x:c>
      <x:c r="F326" s="24" t="str">
        <x:f>'500件商品'!L326</x:f>
        <x:v>1-2月</x:v>
      </x:c>
      <x:c r="G326" s="28" t="n">
        <x:f>'500件商品'!M326</x:f>
        <x:v>2.5</x:v>
      </x:c>
      <x:c r="H326" s="24" t="str">
        <x:f>'500件商品'!P326</x:f>
        <x:v>是</x:v>
      </x:c>
      <x:c r="I326" s="26" t="n">
        <x:f>'500件商品'!N326</x:f>
        <x:v>89</x:v>
      </x:c>
      <x:c r="J326" s="26" t="n">
        <x:f>'500件商品'!O326</x:f>
        <x:v>30</x:v>
      </x:c>
      <x:c r="K326" s="26" t="n">
        <x:f>IF(H326="是",CEILING(I326/J326,1),0)</x:f>
        <x:v>3</x:v>
      </x:c>
      <x:c r="L326" s="26" t="n">
        <x:f>ROUND(I326*G326,0)</x:f>
        <x:v>223</x:v>
      </x:c>
      <x:c r="M326" s="26" t="n">
        <x:f>IF(H326="是",CEILING(L326/J326,1),0)</x:f>
        <x:v>8</x:v>
      </x:c>
      <x:c r="N326" s="26" t="n">
        <x:f>M326-K326</x:f>
        <x:v>5</x:v>
      </x:c>
      <x:c r="O326" s="24" t="str">
        <x:f>'500件商品'!Q326</x:f>
        <x:v>3區</x:v>
      </x:c>
      <x:c r="P326" s="26" t="n">
        <x:f>'500件商品'!R326</x:f>
        <x:v>30</x:v>
      </x:c>
      <x:c r="Q326" s="24" t="str">
        <x:f>IF(H326="否","非棧板管理",IF(AND(E326="是",N326&gt;0),"季節彈性前移區",IF(OR(C326="Cluster 3",D326&gt;=55),"近端低層棧板區",IF(C326="Cluster 2","中段大貨位",IF(C326="Cluster 4","遠端彈性儲位","中段棧板區")))))</x:f>
        <x:v>季節彈性前移區</x:v>
      </x:c>
      <x:c r="R326" s="24" t="str">
        <x:f>IF(AND(H326="是",E326="是",N326&gt;0),"是","否")</x:f>
        <x:v>是</x:v>
      </x:c>
      <x:c r="S326" s="24" t="str">
        <x:f>IF(H326="否","非本次棧板儲位分析對象",IF(R326="是","旺季前需前移並增加棧板位",IF(N326&gt;0,"需增加棧板位",IF(N326&lt;0,"可釋放部分棧板位","維持現況"))))</x:f>
        <x:v>旺季前需前移並增加棧板位</x:v>
      </x:c>
    </x:row>
    <x:row r="327">
      <x:c r="A327" s="24" t="str">
        <x:f>'500件商品'!A327</x:f>
        <x:v>PX0323</x:v>
      </x:c>
      <x:c r="B327" s="24" t="str">
        <x:f>'500件商品'!B327</x:f>
        <x:v>乾電池組-標準箱</x:v>
      </x:c>
      <x:c r="C327" s="24" t="str">
        <x:f>'500件商品'!D327</x:f>
        <x:v>Cluster 5</x:v>
      </x:c>
      <x:c r="D327" s="26" t="n">
        <x:f>'500件商品'!F327</x:f>
        <x:v>45</x:v>
      </x:c>
      <x:c r="E327" s="24" t="str">
        <x:f>'500件商品'!K327</x:f>
        <x:v>否</x:v>
      </x:c>
      <x:c r="F327" s="24" t="str">
        <x:f>'500件商品'!L327</x:f>
      </x:c>
      <x:c r="G327" s="28" t="n">
        <x:f>'500件商品'!M327</x:f>
        <x:v>1</x:v>
      </x:c>
      <x:c r="H327" s="24" t="str">
        <x:f>'500件商品'!P327</x:f>
        <x:v>是</x:v>
      </x:c>
      <x:c r="I327" s="26" t="n">
        <x:f>'500件商品'!N327</x:f>
        <x:v>409</x:v>
      </x:c>
      <x:c r="J327" s="26" t="n">
        <x:f>'500件商品'!O327</x:f>
        <x:v>72</x:v>
      </x:c>
      <x:c r="K327" s="26" t="n">
        <x:f>IF(H327="是",CEILING(I327/J327,1),0)</x:f>
        <x:v>6</x:v>
      </x:c>
      <x:c r="L327" s="26" t="n">
        <x:f>ROUND(I327*G327,0)</x:f>
        <x:v>409</x:v>
      </x:c>
      <x:c r="M327" s="26" t="n">
        <x:f>IF(H327="是",CEILING(L327/J327,1),0)</x:f>
        <x:v>6</x:v>
      </x:c>
      <x:c r="N327" s="26" t="n">
        <x:f>M327-K327</x:f>
        <x:v>0</x:v>
      </x:c>
      <x:c r="O327" s="24" t="str">
        <x:f>'500件商品'!Q327</x:f>
        <x:v>3區</x:v>
      </x:c>
      <x:c r="P327" s="26" t="n">
        <x:f>'500件商品'!R327</x:f>
        <x:v>31</x:v>
      </x:c>
      <x:c r="Q327" s="24" t="str">
        <x:f>IF(H327="否","非棧板管理",IF(AND(E327="是",N327&gt;0),"季節彈性前移區",IF(OR(C327="Cluster 3",D327&gt;=55),"近端低層棧板區",IF(C327="Cluster 2","中段大貨位",IF(C327="Cluster 4","遠端彈性儲位","中段棧板區")))))</x:f>
        <x:v>中段棧板區</x:v>
      </x:c>
      <x:c r="R327" s="24" t="str">
        <x:f>IF(AND(H327="是",E327="是",N327&gt;0),"是","否")</x:f>
        <x:v>否</x:v>
      </x:c>
      <x:c r="S327" s="24" t="str">
        <x:f>IF(H327="否","非本次棧板儲位分析對象",IF(R327="是","旺季前需前移並增加棧板位",IF(N327&gt;0,"需增加棧板位",IF(N327&lt;0,"可釋放部分棧板位","維持現況"))))</x:f>
        <x:v>維持現況</x:v>
      </x:c>
    </x:row>
    <x:row r="328">
      <x:c r="A328" s="24" t="str">
        <x:f>'500件商品'!A328</x:f>
        <x:v>PX0324</x:v>
      </x:c>
      <x:c r="B328" s="24" t="str">
        <x:f>'500件商品'!B328</x:f>
        <x:v>尿布箱-小包裝</x:v>
      </x:c>
      <x:c r="C328" s="24" t="str">
        <x:f>'500件商品'!D328</x:f>
        <x:v>Cluster 2</x:v>
      </x:c>
      <x:c r="D328" s="26" t="n">
        <x:f>'500件商品'!F328</x:f>
        <x:v>4</x:v>
      </x:c>
      <x:c r="E328" s="24" t="str">
        <x:f>'500件商品'!K328</x:f>
        <x:v>否</x:v>
      </x:c>
      <x:c r="F328" s="24" t="str">
        <x:f>'500件商品'!L328</x:f>
      </x:c>
      <x:c r="G328" s="28" t="n">
        <x:f>'500件商品'!M328</x:f>
        <x:v>1.1</x:v>
      </x:c>
      <x:c r="H328" s="24" t="str">
        <x:f>'500件商品'!P328</x:f>
        <x:v>是</x:v>
      </x:c>
      <x:c r="I328" s="26" t="n">
        <x:f>'500件商品'!N328</x:f>
        <x:v>44</x:v>
      </x:c>
      <x:c r="J328" s="26" t="n">
        <x:f>'500件商品'!O328</x:f>
        <x:v>24</x:v>
      </x:c>
      <x:c r="K328" s="26" t="n">
        <x:f>IF(H328="是",CEILING(I328/J328,1),0)</x:f>
        <x:v>2</x:v>
      </x:c>
      <x:c r="L328" s="26" t="n">
        <x:f>ROUND(I328*G328,0)</x:f>
        <x:v>48</x:v>
      </x:c>
      <x:c r="M328" s="26" t="n">
        <x:f>IF(H328="是",CEILING(L328/J328,1),0)</x:f>
        <x:v>2</x:v>
      </x:c>
      <x:c r="N328" s="26" t="n">
        <x:f>M328-K328</x:f>
        <x:v>0</x:v>
      </x:c>
      <x:c r="O328" s="24" t="str">
        <x:f>'500件商品'!Q328</x:f>
        <x:v>1區</x:v>
      </x:c>
      <x:c r="P328" s="26" t="n">
        <x:f>'500件商品'!R328</x:f>
        <x:v>25</x:v>
      </x:c>
      <x:c r="Q328" s="24" t="str">
        <x:f>IF(H328="否","非棧板管理",IF(AND(E328="是",N328&gt;0),"季節彈性前移區",IF(OR(C328="Cluster 3",D328&gt;=55),"近端低層棧板區",IF(C328="Cluster 2","中段大貨位",IF(C328="Cluster 4","遠端彈性儲位","中段棧板區")))))</x:f>
        <x:v>中段大貨位</x:v>
      </x:c>
      <x:c r="R328" s="24" t="str">
        <x:f>IF(AND(H328="是",E328="是",N328&gt;0),"是","否")</x:f>
        <x:v>否</x:v>
      </x:c>
      <x:c r="S328" s="24" t="str">
        <x:f>IF(H328="否","非本次棧板儲位分析對象",IF(R328="是","旺季前需前移並增加棧板位",IF(N328&gt;0,"需增加棧板位",IF(N328&lt;0,"可釋放部分棧板位","維持現況"))))</x:f>
        <x:v>維持現況</x:v>
      </x:c>
    </x:row>
    <x:row r="329">
      <x:c r="A329" s="24" t="str">
        <x:f>'500件商品'!A329</x:f>
        <x:v>PX0325</x:v>
      </x:c>
      <x:c r="B329" s="24" t="str">
        <x:f>'500件商品'!B329</x:f>
        <x:v>洗髮精-補充包</x:v>
      </x:c>
      <x:c r="C329" s="24" t="str">
        <x:f>'500件商品'!D329</x:f>
        <x:v>Cluster 1</x:v>
      </x:c>
      <x:c r="D329" s="26" t="n">
        <x:f>'500件商品'!F329</x:f>
        <x:v>27</x:v>
      </x:c>
      <x:c r="E329" s="24" t="str">
        <x:f>'500件商品'!K329</x:f>
        <x:v>否</x:v>
      </x:c>
      <x:c r="F329" s="24" t="str">
        <x:f>'500件商品'!L329</x:f>
      </x:c>
      <x:c r="G329" s="28" t="n">
        <x:f>'500件商品'!M329</x:f>
        <x:v>1.1</x:v>
      </x:c>
      <x:c r="H329" s="24" t="str">
        <x:f>'500件商品'!P329</x:f>
        <x:v>是</x:v>
      </x:c>
      <x:c r="I329" s="26" t="n">
        <x:f>'500件商品'!N329</x:f>
        <x:v>114</x:v>
      </x:c>
      <x:c r="J329" s="26" t="n">
        <x:f>'500件商品'!O329</x:f>
        <x:v>60</x:v>
      </x:c>
      <x:c r="K329" s="26" t="n">
        <x:f>IF(H329="是",CEILING(I329/J329,1),0)</x:f>
        <x:v>2</x:v>
      </x:c>
      <x:c r="L329" s="26" t="n">
        <x:f>ROUND(I329*G329,0)</x:f>
        <x:v>125</x:v>
      </x:c>
      <x:c r="M329" s="26" t="n">
        <x:f>IF(H329="是",CEILING(L329/J329,1),0)</x:f>
        <x:v>3</x:v>
      </x:c>
      <x:c r="N329" s="26" t="n">
        <x:f>M329-K329</x:f>
        <x:v>1</x:v>
      </x:c>
      <x:c r="O329" s="24" t="str">
        <x:f>'500件商品'!Q329</x:f>
        <x:v>彈性區</x:v>
      </x:c>
      <x:c r="P329" s="26" t="n">
        <x:f>'500件商品'!R329</x:f>
        <x:v>49</x:v>
      </x:c>
      <x:c r="Q329" s="24" t="str">
        <x:f>IF(H329="否","非棧板管理",IF(AND(E329="是",N329&gt;0),"季節彈性前移區",IF(OR(C329="Cluster 3",D329&gt;=55),"近端低層棧板區",IF(C329="Cluster 2","中段大貨位",IF(C329="Cluster 4","遠端彈性儲位","中段棧板區")))))</x:f>
        <x:v>中段棧板區</x:v>
      </x:c>
      <x:c r="R329" s="24" t="str">
        <x:f>IF(AND(H329="是",E329="是",N329&gt;0),"是","否")</x:f>
        <x:v>否</x:v>
      </x:c>
      <x:c r="S329" s="24" t="str">
        <x:f>IF(H329="否","非本次棧板儲位分析對象",IF(R329="是","旺季前需前移並增加棧板位",IF(N329&gt;0,"需增加棧板位",IF(N329&lt;0,"可釋放部分棧板位","維持現況"))))</x:f>
        <x:v>需增加棧板位</x:v>
      </x:c>
    </x:row>
    <x:row r="330">
      <x:c r="A330" s="24" t="str">
        <x:f>'500件商品'!A330</x:f>
        <x:v>PX0326</x:v>
      </x:c>
      <x:c r="B330" s="24" t="str">
        <x:f>'500件商品'!B330</x:f>
        <x:v>捲筒衛生紙-標準箱</x:v>
      </x:c>
      <x:c r="C330" s="24" t="str">
        <x:f>'500件商品'!D330</x:f>
        <x:v>Cluster 2</x:v>
      </x:c>
      <x:c r="D330" s="26" t="n">
        <x:f>'500件商品'!F330</x:f>
        <x:v>17</x:v>
      </x:c>
      <x:c r="E330" s="24" t="str">
        <x:f>'500件商品'!K330</x:f>
        <x:v>否</x:v>
      </x:c>
      <x:c r="F330" s="24" t="str">
        <x:f>'500件商品'!L330</x:f>
      </x:c>
      <x:c r="G330" s="28" t="n">
        <x:f>'500件商品'!M330</x:f>
        <x:v>1</x:v>
      </x:c>
      <x:c r="H330" s="24" t="str">
        <x:f>'500件商品'!P330</x:f>
        <x:v>是</x:v>
      </x:c>
      <x:c r="I330" s="26" t="n">
        <x:f>'500件商品'!N330</x:f>
        <x:v>117</x:v>
      </x:c>
      <x:c r="J330" s="26" t="n">
        <x:f>'500件商品'!O330</x:f>
        <x:v>30</x:v>
      </x:c>
      <x:c r="K330" s="26" t="n">
        <x:f>IF(H330="是",CEILING(I330/J330,1),0)</x:f>
        <x:v>4</x:v>
      </x:c>
      <x:c r="L330" s="26" t="n">
        <x:f>ROUND(I330*G330,0)</x:f>
        <x:v>117</x:v>
      </x:c>
      <x:c r="M330" s="26" t="n">
        <x:f>IF(H330="是",CEILING(L330/J330,1),0)</x:f>
        <x:v>4</x:v>
      </x:c>
      <x:c r="N330" s="26" t="n">
        <x:f>M330-K330</x:f>
        <x:v>0</x:v>
      </x:c>
      <x:c r="O330" s="24" t="str">
        <x:f>'500件商品'!Q330</x:f>
        <x:v>3區</x:v>
      </x:c>
      <x:c r="P330" s="26" t="n">
        <x:f>'500件商品'!R330</x:f>
        <x:v>34</x:v>
      </x:c>
      <x:c r="Q330" s="24" t="str">
        <x:f>IF(H330="否","非棧板管理",IF(AND(E330="是",N330&gt;0),"季節彈性前移區",IF(OR(C330="Cluster 3",D330&gt;=55),"近端低層棧板區",IF(C330="Cluster 2","中段大貨位",IF(C330="Cluster 4","遠端彈性儲位","中段棧板區")))))</x:f>
        <x:v>中段大貨位</x:v>
      </x:c>
      <x:c r="R330" s="24" t="str">
        <x:f>IF(AND(H330="是",E330="是",N330&gt;0),"是","否")</x:f>
        <x:v>否</x:v>
      </x:c>
      <x:c r="S330" s="24" t="str">
        <x:f>IF(H330="否","非本次棧板儲位分析對象",IF(R330="是","旺季前需前移並增加棧板位",IF(N330&gt;0,"需增加棧板位",IF(N330&lt;0,"可釋放部分棧板位","維持現況"))))</x:f>
        <x:v>維持現況</x:v>
      </x:c>
    </x:row>
    <x:row r="331">
      <x:c r="A331" s="24" t="str">
        <x:f>'500件商品'!A331</x:f>
        <x:v>PX0327</x:v>
      </x:c>
      <x:c r="B331" s="24" t="str">
        <x:f>'500件商品'!B331</x:f>
        <x:v>鋁箔紙-標準箱</x:v>
      </x:c>
      <x:c r="C331" s="24" t="str">
        <x:f>'500件商品'!D331</x:f>
        <x:v>Cluster 4</x:v>
      </x:c>
      <x:c r="D331" s="26" t="n">
        <x:f>'500件商品'!F331</x:f>
        <x:v>22</x:v>
      </x:c>
      <x:c r="E331" s="24" t="str">
        <x:f>'500件商品'!K331</x:f>
        <x:v>是</x:v>
      </x:c>
      <x:c r="F331" s="24" t="str">
        <x:f>'500件商品'!L331</x:f>
        <x:v>旺季</x:v>
      </x:c>
      <x:c r="G331" s="28" t="n">
        <x:f>'500件商品'!M331</x:f>
        <x:v>2</x:v>
      </x:c>
      <x:c r="H331" s="24" t="str">
        <x:f>'500件商品'!P331</x:f>
        <x:v>否</x:v>
      </x:c>
      <x:c r="I331" s="26" t="n">
        <x:f>'500件商品'!N331</x:f>
        <x:v>161</x:v>
      </x:c>
      <x:c r="J331" s="26" t="str">
        <x:f>'500件商品'!O331</x:f>
      </x:c>
      <x:c r="K331" s="26" t="n">
        <x:f>IF(H331="是",CEILING(I331/J331,1),0)</x:f>
        <x:v>0</x:v>
      </x:c>
      <x:c r="L331" s="26" t="n">
        <x:f>ROUND(I331*G331,0)</x:f>
        <x:v>322</x:v>
      </x:c>
      <x:c r="M331" s="26" t="n">
        <x:f>IF(H331="是",CEILING(L331/J331,1),0)</x:f>
        <x:v>0</x:v>
      </x:c>
      <x:c r="N331" s="26" t="n">
        <x:f>M331-K331</x:f>
        <x:v>0</x:v>
      </x:c>
      <x:c r="O331" s="24" t="str">
        <x:f>'500件商品'!Q331</x:f>
        <x:v>1區</x:v>
      </x:c>
      <x:c r="P331" s="26" t="n">
        <x:f>'500件商品'!R331</x:f>
        <x:v>36</x:v>
      </x:c>
      <x:c r="Q331" s="24" t="str">
        <x:f>IF(H331="否","非棧板管理",IF(AND(E331="是",N331&gt;0),"季節彈性前移區",IF(OR(C331="Cluster 3",D331&gt;=55),"近端低層棧板區",IF(C331="Cluster 2","中段大貨位",IF(C331="Cluster 4","遠端彈性儲位","中段棧板區")))))</x:f>
        <x:v>非棧板管理</x:v>
      </x:c>
      <x:c r="R331" s="24" t="str">
        <x:f>IF(AND(H331="是",E331="是",N331&gt;0),"是","否")</x:f>
        <x:v>否</x:v>
      </x:c>
      <x:c r="S331" s="24" t="str">
        <x:f>IF(H331="否","非本次棧板儲位分析對象",IF(R331="是","旺季前需前移並增加棧板位",IF(N331&gt;0,"需增加棧板位",IF(N331&lt;0,"可釋放部分棧板位","維持現況"))))</x:f>
        <x:v>非本次棧板儲位分析對象</x:v>
      </x:c>
    </x:row>
    <x:row r="332">
      <x:c r="A332" s="24" t="str">
        <x:f>'500件商品'!A332</x:f>
        <x:v>PX0328</x:v>
      </x:c>
      <x:c r="B332" s="24" t="str">
        <x:f>'500件商品'!B332</x:f>
        <x:v>抹布組-小包裝</x:v>
      </x:c>
      <x:c r="C332" s="24" t="str">
        <x:f>'500件商品'!D332</x:f>
        <x:v>Cluster 5</x:v>
      </x:c>
      <x:c r="D332" s="26" t="n">
        <x:f>'500件商品'!F332</x:f>
        <x:v>54</x:v>
      </x:c>
      <x:c r="E332" s="24" t="str">
        <x:f>'500件商品'!K332</x:f>
        <x:v>否</x:v>
      </x:c>
      <x:c r="F332" s="24" t="str">
        <x:f>'500件商品'!L332</x:f>
      </x:c>
      <x:c r="G332" s="28" t="n">
        <x:f>'500件商品'!M332</x:f>
        <x:v>1</x:v>
      </x:c>
      <x:c r="H332" s="24" t="str">
        <x:f>'500件商品'!P332</x:f>
        <x:v>是</x:v>
      </x:c>
      <x:c r="I332" s="26" t="n">
        <x:f>'500件商品'!N332</x:f>
        <x:v>195</x:v>
      </x:c>
      <x:c r="J332" s="26" t="n">
        <x:f>'500件商品'!O332</x:f>
        <x:v>48</x:v>
      </x:c>
      <x:c r="K332" s="26" t="n">
        <x:f>IF(H332="是",CEILING(I332/J332,1),0)</x:f>
        <x:v>5</x:v>
      </x:c>
      <x:c r="L332" s="26" t="n">
        <x:f>ROUND(I332*G332,0)</x:f>
        <x:v>195</x:v>
      </x:c>
      <x:c r="M332" s="26" t="n">
        <x:f>IF(H332="是",CEILING(L332/J332,1),0)</x:f>
        <x:v>5</x:v>
      </x:c>
      <x:c r="N332" s="26" t="n">
        <x:f>M332-K332</x:f>
        <x:v>0</x:v>
      </x:c>
      <x:c r="O332" s="24" t="str">
        <x:f>'500件商品'!Q332</x:f>
        <x:v>遠端區</x:v>
      </x:c>
      <x:c r="P332" s="26" t="n">
        <x:f>'500件商品'!R332</x:f>
        <x:v>71</x:v>
      </x:c>
      <x:c r="Q332" s="24" t="str">
        <x:f>IF(H332="否","非棧板管理",IF(AND(E332="是",N332&gt;0),"季節彈性前移區",IF(OR(C332="Cluster 3",D332&gt;=55),"近端低層棧板區",IF(C332="Cluster 2","中段大貨位",IF(C332="Cluster 4","遠端彈性儲位","中段棧板區")))))</x:f>
        <x:v>中段棧板區</x:v>
      </x:c>
      <x:c r="R332" s="24" t="str">
        <x:f>IF(AND(H332="是",E332="是",N332&gt;0),"是","否")</x:f>
        <x:v>否</x:v>
      </x:c>
      <x:c r="S332" s="24" t="str">
        <x:f>IF(H332="否","非本次棧板儲位分析對象",IF(R332="是","旺季前需前移並增加棧板位",IF(N332&gt;0,"需增加棧板位",IF(N332&lt;0,"可釋放部分棧板位","維持現況"))))</x:f>
        <x:v>維持現況</x:v>
      </x:c>
    </x:row>
    <x:row r="333">
      <x:c r="A333" s="24" t="str">
        <x:f>'500件商品'!A333</x:f>
        <x:v>PX0329</x:v>
      </x:c>
      <x:c r="B333" s="24" t="str">
        <x:f>'500件商品'!B333</x:f>
        <x:v>乾電池組-標準箱</x:v>
      </x:c>
      <x:c r="C333" s="24" t="str">
        <x:f>'500件商品'!D333</x:f>
        <x:v>Cluster 5</x:v>
      </x:c>
      <x:c r="D333" s="26" t="n">
        <x:f>'500件商品'!F333</x:f>
        <x:v>48</x:v>
      </x:c>
      <x:c r="E333" s="24" t="str">
        <x:f>'500件商品'!K333</x:f>
        <x:v>否</x:v>
      </x:c>
      <x:c r="F333" s="24" t="str">
        <x:f>'500件商品'!L333</x:f>
      </x:c>
      <x:c r="G333" s="28" t="n">
        <x:f>'500件商品'!M333</x:f>
        <x:v>1</x:v>
      </x:c>
      <x:c r="H333" s="24" t="str">
        <x:f>'500件商品'!P333</x:f>
        <x:v>是</x:v>
      </x:c>
      <x:c r="I333" s="26" t="n">
        <x:f>'500件商品'!N333</x:f>
        <x:v>191</x:v>
      </x:c>
      <x:c r="J333" s="26" t="n">
        <x:f>'500件商品'!O333</x:f>
        <x:v>80</x:v>
      </x:c>
      <x:c r="K333" s="26" t="n">
        <x:f>IF(H333="是",CEILING(I333/J333,1),0)</x:f>
        <x:v>3</x:v>
      </x:c>
      <x:c r="L333" s="26" t="n">
        <x:f>ROUND(I333*G333,0)</x:f>
        <x:v>191</x:v>
      </x:c>
      <x:c r="M333" s="26" t="n">
        <x:f>IF(H333="是",CEILING(L333/J333,1),0)</x:f>
        <x:v>3</x:v>
      </x:c>
      <x:c r="N333" s="26" t="n">
        <x:f>M333-K333</x:f>
        <x:v>0</x:v>
      </x:c>
      <x:c r="O333" s="24" t="str">
        <x:f>'500件商品'!Q333</x:f>
        <x:v>K區</x:v>
      </x:c>
      <x:c r="P333" s="26" t="n">
        <x:f>'500件商品'!R333</x:f>
        <x:v>52</x:v>
      </x:c>
      <x:c r="Q333" s="24" t="str">
        <x:f>IF(H333="否","非棧板管理",IF(AND(E333="是",N333&gt;0),"季節彈性前移區",IF(OR(C333="Cluster 3",D333&gt;=55),"近端低層棧板區",IF(C333="Cluster 2","中段大貨位",IF(C333="Cluster 4","遠端彈性儲位","中段棧板區")))))</x:f>
        <x:v>中段棧板區</x:v>
      </x:c>
      <x:c r="R333" s="24" t="str">
        <x:f>IF(AND(H333="是",E333="是",N333&gt;0),"是","否")</x:f>
        <x:v>否</x:v>
      </x:c>
      <x:c r="S333" s="24" t="str">
        <x:f>IF(H333="否","非本次棧板儲位分析對象",IF(R333="是","旺季前需前移並增加棧板位",IF(N333&gt;0,"需增加棧板位",IF(N333&lt;0,"可釋放部分棧板位","維持現況"))))</x:f>
        <x:v>維持現況</x:v>
      </x:c>
    </x:row>
    <x:row r="334">
      <x:c r="A334" s="24" t="str">
        <x:f>'500件商品'!A334</x:f>
        <x:v>PX0330</x:v>
      </x:c>
      <x:c r="B334" s="24" t="str">
        <x:f>'500件商品'!B334</x:f>
        <x:v>果汁飲料整箱-促銷組</x:v>
      </x:c>
      <x:c r="C334" s="24" t="str">
        <x:f>'500件商品'!D334</x:f>
        <x:v>Cluster 2</x:v>
      </x:c>
      <x:c r="D334" s="26" t="n">
        <x:f>'500件商品'!F334</x:f>
        <x:v>40</x:v>
      </x:c>
      <x:c r="E334" s="24" t="str">
        <x:f>'500件商品'!K334</x:f>
        <x:v>否</x:v>
      </x:c>
      <x:c r="F334" s="24" t="str">
        <x:f>'500件商品'!L334</x:f>
      </x:c>
      <x:c r="G334" s="28" t="n">
        <x:f>'500件商品'!M334</x:f>
        <x:v>1.3</x:v>
      </x:c>
      <x:c r="H334" s="24" t="str">
        <x:f>'500件商品'!P334</x:f>
        <x:v>是</x:v>
      </x:c>
      <x:c r="I334" s="26" t="n">
        <x:f>'500件商品'!N334</x:f>
        <x:v>219</x:v>
      </x:c>
      <x:c r="J334" s="26" t="n">
        <x:f>'500件商品'!O334</x:f>
        <x:v>48</x:v>
      </x:c>
      <x:c r="K334" s="26" t="n">
        <x:f>IF(H334="是",CEILING(I334/J334,1),0)</x:f>
        <x:v>5</x:v>
      </x:c>
      <x:c r="L334" s="26" t="n">
        <x:f>ROUND(I334*G334,0)</x:f>
        <x:v>285</x:v>
      </x:c>
      <x:c r="M334" s="26" t="n">
        <x:f>IF(H334="是",CEILING(L334/J334,1),0)</x:f>
        <x:v>6</x:v>
      </x:c>
      <x:c r="N334" s="26" t="n">
        <x:f>M334-K334</x:f>
        <x:v>1</x:v>
      </x:c>
      <x:c r="O334" s="24" t="str">
        <x:f>'500件商品'!Q334</x:f>
        <x:v>K區</x:v>
      </x:c>
      <x:c r="P334" s="26" t="n">
        <x:f>'500件商品'!R334</x:f>
        <x:v>55</x:v>
      </x:c>
      <x:c r="Q334" s="24" t="str">
        <x:f>IF(H334="否","非棧板管理",IF(AND(E334="是",N334&gt;0),"季節彈性前移區",IF(OR(C334="Cluster 3",D334&gt;=55),"近端低層棧板區",IF(C334="Cluster 2","中段大貨位",IF(C334="Cluster 4","遠端彈性儲位","中段棧板區")))))</x:f>
        <x:v>中段大貨位</x:v>
      </x:c>
      <x:c r="R334" s="24" t="str">
        <x:f>IF(AND(H334="是",E334="是",N334&gt;0),"是","否")</x:f>
        <x:v>否</x:v>
      </x:c>
      <x:c r="S334" s="24" t="str">
        <x:f>IF(H334="否","非本次棧板儲位分析對象",IF(R334="是","旺季前需前移並增加棧板位",IF(N334&gt;0,"需增加棧板位",IF(N334&lt;0,"可釋放部分棧板位","維持現況"))))</x:f>
        <x:v>需增加棧板位</x:v>
      </x:c>
    </x:row>
    <x:row r="335">
      <x:c r="A335" s="24" t="str">
        <x:f>'500件商品'!A335</x:f>
        <x:v>PX0331</x:v>
      </x:c>
      <x:c r="B335" s="24" t="str">
        <x:f>'500件商品'!B335</x:f>
        <x:v>口罩盒-箱裝</x:v>
      </x:c>
      <x:c r="C335" s="24" t="str">
        <x:f>'500件商品'!D335</x:f>
        <x:v>Cluster 2</x:v>
      </x:c>
      <x:c r="D335" s="26" t="n">
        <x:f>'500件商品'!F335</x:f>
        <x:v>74</x:v>
      </x:c>
      <x:c r="E335" s="24" t="str">
        <x:f>'500件商品'!K335</x:f>
        <x:v>否</x:v>
      </x:c>
      <x:c r="F335" s="24" t="str">
        <x:f>'500件商品'!L335</x:f>
      </x:c>
      <x:c r="G335" s="28" t="n">
        <x:f>'500件商品'!M335</x:f>
        <x:v>1</x:v>
      </x:c>
      <x:c r="H335" s="24" t="str">
        <x:f>'500件商品'!P335</x:f>
        <x:v>是</x:v>
      </x:c>
      <x:c r="I335" s="26" t="n">
        <x:f>'500件商品'!N335</x:f>
        <x:v>253</x:v>
      </x:c>
      <x:c r="J335" s="26" t="n">
        <x:f>'500件商品'!O335</x:f>
        <x:v>30</x:v>
      </x:c>
      <x:c r="K335" s="26" t="n">
        <x:f>IF(H335="是",CEILING(I335/J335,1),0)</x:f>
        <x:v>9</x:v>
      </x:c>
      <x:c r="L335" s="26" t="n">
        <x:f>ROUND(I335*G335,0)</x:f>
        <x:v>253</x:v>
      </x:c>
      <x:c r="M335" s="26" t="n">
        <x:f>IF(H335="是",CEILING(L335/J335,1),0)</x:f>
        <x:v>9</x:v>
      </x:c>
      <x:c r="N335" s="26" t="n">
        <x:f>M335-K335</x:f>
        <x:v>0</x:v>
      </x:c>
      <x:c r="O335" s="24" t="str">
        <x:f>'500件商品'!Q335</x:f>
        <x:v>3區</x:v>
      </x:c>
      <x:c r="P335" s="26" t="n">
        <x:f>'500件商品'!R335</x:f>
        <x:v>49</x:v>
      </x:c>
      <x:c r="Q335" s="24" t="str">
        <x:f>IF(H335="否","非棧板管理",IF(AND(E335="是",N335&gt;0),"季節彈性前移區",IF(OR(C335="Cluster 3",D335&gt;=55),"近端低層棧板區",IF(C335="Cluster 2","中段大貨位",IF(C335="Cluster 4","遠端彈性儲位","中段棧板區")))))</x:f>
        <x:v>近端低層棧板區</x:v>
      </x:c>
      <x:c r="R335" s="24" t="str">
        <x:f>IF(AND(H335="是",E335="是",N335&gt;0),"是","否")</x:f>
        <x:v>否</x:v>
      </x:c>
      <x:c r="S335" s="24" t="str">
        <x:f>IF(H335="否","非本次棧板儲位分析對象",IF(R335="是","旺季前需前移並增加棧板位",IF(N335&gt;0,"需增加棧板位",IF(N335&lt;0,"可釋放部分棧板位","維持現況"))))</x:f>
        <x:v>維持現況</x:v>
      </x:c>
    </x:row>
    <x:row r="336">
      <x:c r="A336" s="24" t="str">
        <x:f>'500件商品'!A336</x:f>
        <x:v>PX0332</x:v>
      </x:c>
      <x:c r="B336" s="24" t="str">
        <x:f>'500件商品'!B336</x:f>
        <x:v>備用耗材-標準箱</x:v>
      </x:c>
      <x:c r="C336" s="24" t="str">
        <x:f>'500件商品'!D336</x:f>
        <x:v>Cluster 5</x:v>
      </x:c>
      <x:c r="D336" s="26" t="n">
        <x:f>'500件商品'!F336</x:f>
        <x:v>25</x:v>
      </x:c>
      <x:c r="E336" s="24" t="str">
        <x:f>'500件商品'!K336</x:f>
        <x:v>否</x:v>
      </x:c>
      <x:c r="F336" s="24" t="str">
        <x:f>'500件商品'!L336</x:f>
      </x:c>
      <x:c r="G336" s="28" t="n">
        <x:f>'500件商品'!M336</x:f>
        <x:v>1</x:v>
      </x:c>
      <x:c r="H336" s="24" t="str">
        <x:f>'500件商品'!P336</x:f>
        <x:v>否</x:v>
      </x:c>
      <x:c r="I336" s="26" t="n">
        <x:f>'500件商品'!N336</x:f>
        <x:v>139</x:v>
      </x:c>
      <x:c r="J336" s="26" t="str">
        <x:f>'500件商品'!O336</x:f>
      </x:c>
      <x:c r="K336" s="26" t="n">
        <x:f>IF(H336="是",CEILING(I336/J336,1),0)</x:f>
        <x:v>0</x:v>
      </x:c>
      <x:c r="L336" s="26" t="n">
        <x:f>ROUND(I336*G336,0)</x:f>
        <x:v>139</x:v>
      </x:c>
      <x:c r="M336" s="26" t="n">
        <x:f>IF(H336="是",CEILING(L336/J336,1),0)</x:f>
        <x:v>0</x:v>
      </x:c>
      <x:c r="N336" s="26" t="n">
        <x:f>M336-K336</x:f>
        <x:v>0</x:v>
      </x:c>
      <x:c r="O336" s="24" t="str">
        <x:f>'500件商品'!Q336</x:f>
        <x:v>3區</x:v>
      </x:c>
      <x:c r="P336" s="26" t="n">
        <x:f>'500件商品'!R336</x:f>
        <x:v>35</x:v>
      </x:c>
      <x:c r="Q336" s="24" t="str">
        <x:f>IF(H336="否","非棧板管理",IF(AND(E336="是",N336&gt;0),"季節彈性前移區",IF(OR(C336="Cluster 3",D336&gt;=55),"近端低層棧板區",IF(C336="Cluster 2","中段大貨位",IF(C336="Cluster 4","遠端彈性儲位","中段棧板區")))))</x:f>
        <x:v>非棧板管理</x:v>
      </x:c>
      <x:c r="R336" s="24" t="str">
        <x:f>IF(AND(H336="是",E336="是",N336&gt;0),"是","否")</x:f>
        <x:v>否</x:v>
      </x:c>
      <x:c r="S336" s="24" t="str">
        <x:f>IF(H336="否","非本次棧板儲位分析對象",IF(R336="是","旺季前需前移並增加棧板位",IF(N336&gt;0,"需增加棧板位",IF(N336&lt;0,"可釋放部分棧板位","維持現況"))))</x:f>
        <x:v>非本次棧板儲位分析對象</x:v>
      </x:c>
    </x:row>
    <x:row r="337">
      <x:c r="A337" s="24" t="str">
        <x:f>'500件商品'!A337</x:f>
        <x:v>PX0333</x:v>
      </x:c>
      <x:c r="B337" s="24" t="str">
        <x:f>'500件商品'!B337</x:f>
        <x:v>茶飲料整箱-箱裝</x:v>
      </x:c>
      <x:c r="C337" s="24" t="str">
        <x:f>'500件商品'!D337</x:f>
        <x:v>Cluster 1</x:v>
      </x:c>
      <x:c r="D337" s="26" t="n">
        <x:f>'500件商品'!F337</x:f>
        <x:v>18</x:v>
      </x:c>
      <x:c r="E337" s="24" t="str">
        <x:f>'500件商品'!K337</x:f>
        <x:v>否</x:v>
      </x:c>
      <x:c r="F337" s="24" t="str">
        <x:f>'500件商品'!L337</x:f>
      </x:c>
      <x:c r="G337" s="28" t="n">
        <x:f>'500件商品'!M337</x:f>
        <x:v>1.3</x:v>
      </x:c>
      <x:c r="H337" s="24" t="str">
        <x:f>'500件商品'!P337</x:f>
        <x:v>是</x:v>
      </x:c>
      <x:c r="I337" s="26" t="n">
        <x:f>'500件商品'!N337</x:f>
        <x:v>111</x:v>
      </x:c>
      <x:c r="J337" s="26" t="n">
        <x:f>'500件商品'!O337</x:f>
        <x:v>36</x:v>
      </x:c>
      <x:c r="K337" s="26" t="n">
        <x:f>IF(H337="是",CEILING(I337/J337,1),0)</x:f>
        <x:v>4</x:v>
      </x:c>
      <x:c r="L337" s="26" t="n">
        <x:f>ROUND(I337*G337,0)</x:f>
        <x:v>144</x:v>
      </x:c>
      <x:c r="M337" s="26" t="n">
        <x:f>IF(H337="是",CEILING(L337/J337,1),0)</x:f>
        <x:v>4</x:v>
      </x:c>
      <x:c r="N337" s="26" t="n">
        <x:f>M337-K337</x:f>
        <x:v>0</x:v>
      </x:c>
      <x:c r="O337" s="24" t="str">
        <x:f>'500件商品'!Q337</x:f>
        <x:v>1區</x:v>
      </x:c>
      <x:c r="P337" s="26" t="n">
        <x:f>'500件商品'!R337</x:f>
        <x:v>23</x:v>
      </x:c>
      <x:c r="Q337" s="24" t="str">
        <x:f>IF(H337="否","非棧板管理",IF(AND(E337="是",N337&gt;0),"季節彈性前移區",IF(OR(C337="Cluster 3",D337&gt;=55),"近端低層棧板區",IF(C337="Cluster 2","中段大貨位",IF(C337="Cluster 4","遠端彈性儲位","中段棧板區")))))</x:f>
        <x:v>中段棧板區</x:v>
      </x:c>
      <x:c r="R337" s="24" t="str">
        <x:f>IF(AND(H337="是",E337="是",N337&gt;0),"是","否")</x:f>
        <x:v>否</x:v>
      </x:c>
      <x:c r="S337" s="24" t="str">
        <x:f>IF(H337="否","非本次棧板儲位分析對象",IF(R337="是","旺季前需前移並增加棧板位",IF(N337&gt;0,"需增加棧板位",IF(N337&lt;0,"可釋放部分棧板位","維持現況"))))</x:f>
        <x:v>維持現況</x:v>
      </x:c>
    </x:row>
    <x:row r="338">
      <x:c r="A338" s="24" t="str">
        <x:f>'500件商品'!A338</x:f>
        <x:v>PX0334</x:v>
      </x:c>
      <x:c r="B338" s="24" t="str">
        <x:f>'500件商品'!B338</x:f>
        <x:v>果汁飲料整箱-促銷組</x:v>
      </x:c>
      <x:c r="C338" s="24" t="str">
        <x:f>'500件商品'!D338</x:f>
        <x:v>Cluster 2</x:v>
      </x:c>
      <x:c r="D338" s="26" t="n">
        <x:f>'500件商品'!F338</x:f>
        <x:v>30</x:v>
      </x:c>
      <x:c r="E338" s="24" t="str">
        <x:f>'500件商品'!K338</x:f>
        <x:v>否</x:v>
      </x:c>
      <x:c r="F338" s="24" t="str">
        <x:f>'500件商品'!L338</x:f>
      </x:c>
      <x:c r="G338" s="28" t="n">
        <x:f>'500件商品'!M338</x:f>
        <x:v>1.2</x:v>
      </x:c>
      <x:c r="H338" s="24" t="str">
        <x:f>'500件商品'!P338</x:f>
        <x:v>是</x:v>
      </x:c>
      <x:c r="I338" s="26" t="n">
        <x:f>'500件商品'!N338</x:f>
        <x:v>207</x:v>
      </x:c>
      <x:c r="J338" s="26" t="n">
        <x:f>'500件商品'!O338</x:f>
        <x:v>36</x:v>
      </x:c>
      <x:c r="K338" s="26" t="n">
        <x:f>IF(H338="是",CEILING(I338/J338,1),0)</x:f>
        <x:v>6</x:v>
      </x:c>
      <x:c r="L338" s="26" t="n">
        <x:f>ROUND(I338*G338,0)</x:f>
        <x:v>248</x:v>
      </x:c>
      <x:c r="M338" s="26" t="n">
        <x:f>IF(H338="是",CEILING(L338/J338,1),0)</x:f>
        <x:v>7</x:v>
      </x:c>
      <x:c r="N338" s="26" t="n">
        <x:f>M338-K338</x:f>
        <x:v>1</x:v>
      </x:c>
      <x:c r="O338" s="24" t="str">
        <x:f>'500件商品'!Q338</x:f>
        <x:v>彈性區</x:v>
      </x:c>
      <x:c r="P338" s="26" t="n">
        <x:f>'500件商品'!R338</x:f>
        <x:v>61</x:v>
      </x:c>
      <x:c r="Q338" s="24" t="str">
        <x:f>IF(H338="否","非棧板管理",IF(AND(E338="是",N338&gt;0),"季節彈性前移區",IF(OR(C338="Cluster 3",D338&gt;=55),"近端低層棧板區",IF(C338="Cluster 2","中段大貨位",IF(C338="Cluster 4","遠端彈性儲位","中段棧板區")))))</x:f>
        <x:v>中段大貨位</x:v>
      </x:c>
      <x:c r="R338" s="24" t="str">
        <x:f>IF(AND(H338="是",E338="是",N338&gt;0),"是","否")</x:f>
        <x:v>否</x:v>
      </x:c>
      <x:c r="S338" s="24" t="str">
        <x:f>IF(H338="否","非本次棧板儲位分析對象",IF(R338="是","旺季前需前移並增加棧板位",IF(N338&gt;0,"需增加棧板位",IF(N338&lt;0,"可釋放部分棧板位","維持現況"))))</x:f>
        <x:v>需增加棧板位</x:v>
      </x:c>
    </x:row>
    <x:row r="339">
      <x:c r="A339" s="24" t="str">
        <x:f>'500件商品'!A339</x:f>
        <x:v>PX0335</x:v>
      </x:c>
      <x:c r="B339" s="24" t="str">
        <x:f>'500件商品'!B339</x:f>
        <x:v>罐頭食品-小包裝</x:v>
      </x:c>
      <x:c r="C339" s="24" t="str">
        <x:f>'500件商品'!D339</x:f>
        <x:v>Cluster 5</x:v>
      </x:c>
      <x:c r="D339" s="26" t="n">
        <x:f>'500件商品'!F339</x:f>
        <x:v>27</x:v>
      </x:c>
      <x:c r="E339" s="24" t="str">
        <x:f>'500件商品'!K339</x:f>
        <x:v>否</x:v>
      </x:c>
      <x:c r="F339" s="24" t="str">
        <x:f>'500件商品'!L339</x:f>
      </x:c>
      <x:c r="G339" s="28" t="n">
        <x:f>'500件商品'!M339</x:f>
        <x:v>1</x:v>
      </x:c>
      <x:c r="H339" s="24" t="str">
        <x:f>'500件商品'!P339</x:f>
        <x:v>否</x:v>
      </x:c>
      <x:c r="I339" s="26" t="n">
        <x:f>'500件商品'!N339</x:f>
        <x:v>116</x:v>
      </x:c>
      <x:c r="J339" s="26" t="str">
        <x:f>'500件商品'!O339</x:f>
      </x:c>
      <x:c r="K339" s="26" t="n">
        <x:f>IF(H339="是",CEILING(I339/J339,1),0)</x:f>
        <x:v>0</x:v>
      </x:c>
      <x:c r="L339" s="26" t="n">
        <x:f>ROUND(I339*G339,0)</x:f>
        <x:v>116</x:v>
      </x:c>
      <x:c r="M339" s="26" t="n">
        <x:f>IF(H339="是",CEILING(L339/J339,1),0)</x:f>
        <x:v>0</x:v>
      </x:c>
      <x:c r="N339" s="26" t="n">
        <x:f>M339-K339</x:f>
        <x:v>0</x:v>
      </x:c>
      <x:c r="O339" s="24" t="str">
        <x:f>'500件商品'!Q339</x:f>
        <x:v>K區</x:v>
      </x:c>
      <x:c r="P339" s="26" t="n">
        <x:f>'500件商品'!R339</x:f>
        <x:v>46</x:v>
      </x:c>
      <x:c r="Q339" s="24" t="str">
        <x:f>IF(H339="否","非棧板管理",IF(AND(E339="是",N339&gt;0),"季節彈性前移區",IF(OR(C339="Cluster 3",D339&gt;=55),"近端低層棧板區",IF(C339="Cluster 2","中段大貨位",IF(C339="Cluster 4","遠端彈性儲位","中段棧板區")))))</x:f>
        <x:v>非棧板管理</x:v>
      </x:c>
      <x:c r="R339" s="24" t="str">
        <x:f>IF(AND(H339="是",E339="是",N339&gt;0),"是","否")</x:f>
        <x:v>否</x:v>
      </x:c>
      <x:c r="S339" s="24" t="str">
        <x:f>IF(H339="否","非本次棧板儲位分析對象",IF(R339="是","旺季前需前移並增加棧板位",IF(N339&gt;0,"需增加棧板位",IF(N339&lt;0,"可釋放部分棧板位","維持現況"))))</x:f>
        <x:v>非本次棧板儲位分析對象</x:v>
      </x:c>
    </x:row>
    <x:row r="340">
      <x:c r="A340" s="24" t="str">
        <x:f>'500件商品'!A340</x:f>
        <x:v>PX0336</x:v>
      </x:c>
      <x:c r="B340" s="24" t="str">
        <x:f>'500件商品'!B340</x:f>
        <x:v>衛生棉組-家庭號</x:v>
      </x:c>
      <x:c r="C340" s="24" t="str">
        <x:f>'500件商品'!D340</x:f>
        <x:v>Cluster 2</x:v>
      </x:c>
      <x:c r="D340" s="26" t="n">
        <x:f>'500件商品'!F340</x:f>
        <x:v>53</x:v>
      </x:c>
      <x:c r="E340" s="24" t="str">
        <x:f>'500件商品'!K340</x:f>
        <x:v>否</x:v>
      </x:c>
      <x:c r="F340" s="24" t="str">
        <x:f>'500件商品'!L340</x:f>
      </x:c>
      <x:c r="G340" s="28" t="n">
        <x:f>'500件商品'!M340</x:f>
        <x:v>1.1</x:v>
      </x:c>
      <x:c r="H340" s="24" t="str">
        <x:f>'500件商品'!P340</x:f>
        <x:v>是</x:v>
      </x:c>
      <x:c r="I340" s="26" t="n">
        <x:f>'500件商品'!N340</x:f>
        <x:v>264</x:v>
      </x:c>
      <x:c r="J340" s="26" t="n">
        <x:f>'500件商品'!O340</x:f>
        <x:v>24</x:v>
      </x:c>
      <x:c r="K340" s="26" t="n">
        <x:f>IF(H340="是",CEILING(I340/J340,1),0)</x:f>
        <x:v>11</x:v>
      </x:c>
      <x:c r="L340" s="26" t="n">
        <x:f>ROUND(I340*G340,0)</x:f>
        <x:v>290</x:v>
      </x:c>
      <x:c r="M340" s="26" t="n">
        <x:f>IF(H340="是",CEILING(L340/J340,1),0)</x:f>
        <x:v>13</x:v>
      </x:c>
      <x:c r="N340" s="26" t="n">
        <x:f>M340-K340</x:f>
        <x:v>2</x:v>
      </x:c>
      <x:c r="O340" s="24" t="str">
        <x:f>'500件商品'!Q340</x:f>
        <x:v>彈性區</x:v>
      </x:c>
      <x:c r="P340" s="26" t="n">
        <x:f>'500件商品'!R340</x:f>
        <x:v>64</x:v>
      </x:c>
      <x:c r="Q340" s="24" t="str">
        <x:f>IF(H340="否","非棧板管理",IF(AND(E340="是",N340&gt;0),"季節彈性前移區",IF(OR(C340="Cluster 3",D340&gt;=55),"近端低層棧板區",IF(C340="Cluster 2","中段大貨位",IF(C340="Cluster 4","遠端彈性儲位","中段棧板區")))))</x:f>
        <x:v>中段大貨位</x:v>
      </x:c>
      <x:c r="R340" s="24" t="str">
        <x:f>IF(AND(H340="是",E340="是",N340&gt;0),"是","否")</x:f>
        <x:v>否</x:v>
      </x:c>
      <x:c r="S340" s="24" t="str">
        <x:f>IF(H340="否","非本次棧板儲位分析對象",IF(R340="是","旺季前需前移並增加棧板位",IF(N340&gt;0,"需增加棧板位",IF(N340&lt;0,"可釋放部分棧板位","維持現況"))))</x:f>
        <x:v>需增加棧板位</x:v>
      </x:c>
    </x:row>
    <x:row r="341">
      <x:c r="A341" s="24" t="str">
        <x:f>'500件商品'!A341</x:f>
        <x:v>PX0337</x:v>
      </x:c>
      <x:c r="B341" s="24" t="str">
        <x:f>'500件商品'!B341</x:f>
        <x:v>尿布箱-小包裝</x:v>
      </x:c>
      <x:c r="C341" s="24" t="str">
        <x:f>'500件商品'!D341</x:f>
        <x:v>Cluster 2</x:v>
      </x:c>
      <x:c r="D341" s="26" t="n">
        <x:f>'500件商品'!F341</x:f>
        <x:v>48</x:v>
      </x:c>
      <x:c r="E341" s="24" t="str">
        <x:f>'500件商品'!K341</x:f>
        <x:v>否</x:v>
      </x:c>
      <x:c r="F341" s="24" t="str">
        <x:f>'500件商品'!L341</x:f>
      </x:c>
      <x:c r="G341" s="28" t="n">
        <x:f>'500件商品'!M341</x:f>
        <x:v>1.1</x:v>
      </x:c>
      <x:c r="H341" s="24" t="str">
        <x:f>'500件商品'!P341</x:f>
        <x:v>是</x:v>
      </x:c>
      <x:c r="I341" s="26" t="n">
        <x:f>'500件商品'!N341</x:f>
        <x:v>345</x:v>
      </x:c>
      <x:c r="J341" s="26" t="n">
        <x:f>'500件商品'!O341</x:f>
        <x:v>20</x:v>
      </x:c>
      <x:c r="K341" s="26" t="n">
        <x:f>IF(H341="是",CEILING(I341/J341,1),0)</x:f>
        <x:v>18</x:v>
      </x:c>
      <x:c r="L341" s="26" t="n">
        <x:f>ROUND(I341*G341,0)</x:f>
        <x:v>380</x:v>
      </x:c>
      <x:c r="M341" s="26" t="n">
        <x:f>IF(H341="是",CEILING(L341/J341,1),0)</x:f>
        <x:v>19</x:v>
      </x:c>
      <x:c r="N341" s="26" t="n">
        <x:f>M341-K341</x:f>
        <x:v>1</x:v>
      </x:c>
      <x:c r="O341" s="24" t="str">
        <x:f>'500件商品'!Q341</x:f>
        <x:v>3區</x:v>
      </x:c>
      <x:c r="P341" s="26" t="n">
        <x:f>'500件商品'!R341</x:f>
        <x:v>41</x:v>
      </x:c>
      <x:c r="Q341" s="24" t="str">
        <x:f>IF(H341="否","非棧板管理",IF(AND(E341="是",N341&gt;0),"季節彈性前移區",IF(OR(C341="Cluster 3",D341&gt;=55),"近端低層棧板區",IF(C341="Cluster 2","中段大貨位",IF(C341="Cluster 4","遠端彈性儲位","中段棧板區")))))</x:f>
        <x:v>中段大貨位</x:v>
      </x:c>
      <x:c r="R341" s="24" t="str">
        <x:f>IF(AND(H341="是",E341="是",N341&gt;0),"是","否")</x:f>
        <x:v>否</x:v>
      </x:c>
      <x:c r="S341" s="24" t="str">
        <x:f>IF(H341="否","非本次棧板儲位分析對象",IF(R341="是","旺季前需前移並增加棧板位",IF(N341&gt;0,"需增加棧板位",IF(N341&lt;0,"可釋放部分棧板位","維持現況"))))</x:f>
        <x:v>需增加棧板位</x:v>
      </x:c>
    </x:row>
    <x:row r="342">
      <x:c r="A342" s="24" t="str">
        <x:f>'500件商品'!A342</x:f>
        <x:v>PX0338</x:v>
      </x:c>
      <x:c r="B342" s="24" t="str">
        <x:f>'500件商品'!B342</x:f>
        <x:v>抹布組-小包裝</x:v>
      </x:c>
      <x:c r="C342" s="24" t="str">
        <x:f>'500件商品'!D342</x:f>
        <x:v>Cluster 2</x:v>
      </x:c>
      <x:c r="D342" s="26" t="n">
        <x:f>'500件商品'!F342</x:f>
        <x:v>46</x:v>
      </x:c>
      <x:c r="E342" s="24" t="str">
        <x:f>'500件商品'!K342</x:f>
        <x:v>否</x:v>
      </x:c>
      <x:c r="F342" s="24" t="str">
        <x:f>'500件商品'!L342</x:f>
      </x:c>
      <x:c r="G342" s="28" t="n">
        <x:f>'500件商品'!M342</x:f>
        <x:v>1.1</x:v>
      </x:c>
      <x:c r="H342" s="24" t="str">
        <x:f>'500件商品'!P342</x:f>
        <x:v>是</x:v>
      </x:c>
      <x:c r="I342" s="26" t="n">
        <x:f>'500件商品'!N342</x:f>
        <x:v>464</x:v>
      </x:c>
      <x:c r="J342" s="26" t="n">
        <x:f>'500件商品'!O342</x:f>
        <x:v>18</x:v>
      </x:c>
      <x:c r="K342" s="26" t="n">
        <x:f>IF(H342="是",CEILING(I342/J342,1),0)</x:f>
        <x:v>26</x:v>
      </x:c>
      <x:c r="L342" s="26" t="n">
        <x:f>ROUND(I342*G342,0)</x:f>
        <x:v>510</x:v>
      </x:c>
      <x:c r="M342" s="26" t="n">
        <x:f>IF(H342="是",CEILING(L342/J342,1),0)</x:f>
        <x:v>29</x:v>
      </x:c>
      <x:c r="N342" s="26" t="n">
        <x:f>M342-K342</x:f>
        <x:v>3</x:v>
      </x:c>
      <x:c r="O342" s="24" t="str">
        <x:f>'500件商品'!Q342</x:f>
        <x:v>K區</x:v>
      </x:c>
      <x:c r="P342" s="26" t="n">
        <x:f>'500件商品'!R342</x:f>
        <x:v>44</x:v>
      </x:c>
      <x:c r="Q342" s="24" t="str">
        <x:f>IF(H342="否","非棧板管理",IF(AND(E342="是",N342&gt;0),"季節彈性前移區",IF(OR(C342="Cluster 3",D342&gt;=55),"近端低層棧板區",IF(C342="Cluster 2","中段大貨位",IF(C342="Cluster 4","遠端彈性儲位","中段棧板區")))))</x:f>
        <x:v>中段大貨位</x:v>
      </x:c>
      <x:c r="R342" s="24" t="str">
        <x:f>IF(AND(H342="是",E342="是",N342&gt;0),"是","否")</x:f>
        <x:v>否</x:v>
      </x:c>
      <x:c r="S342" s="24" t="str">
        <x:f>IF(H342="否","非本次棧板儲位分析對象",IF(R342="是","旺季前需前移並增加棧板位",IF(N342&gt;0,"需增加棧板位",IF(N342&lt;0,"可釋放部分棧板位","維持現況"))))</x:f>
        <x:v>需增加棧板位</x:v>
      </x:c>
    </x:row>
    <x:row r="343">
      <x:c r="A343" s="24" t="str">
        <x:f>'500件商品'!A343</x:f>
        <x:v>PX0339</x:v>
      </x:c>
      <x:c r="B343" s="24" t="str">
        <x:f>'500件商品'!B343</x:f>
        <x:v>垃圾袋-家庭號</x:v>
      </x:c>
      <x:c r="C343" s="24" t="str">
        <x:f>'500件商品'!D343</x:f>
        <x:v>Cluster 5</x:v>
      </x:c>
      <x:c r="D343" s="26" t="n">
        <x:f>'500件商品'!F343</x:f>
        <x:v>73</x:v>
      </x:c>
      <x:c r="E343" s="24" t="str">
        <x:f>'500件商品'!K343</x:f>
        <x:v>否</x:v>
      </x:c>
      <x:c r="F343" s="24" t="str">
        <x:f>'500件商品'!L343</x:f>
      </x:c>
      <x:c r="G343" s="28" t="n">
        <x:f>'500件商品'!M343</x:f>
        <x:v>1.1</x:v>
      </x:c>
      <x:c r="H343" s="24" t="str">
        <x:f>'500件商品'!P343</x:f>
        <x:v>是</x:v>
      </x:c>
      <x:c r="I343" s="26" t="n">
        <x:f>'500件商品'!N343</x:f>
        <x:v>791</x:v>
      </x:c>
      <x:c r="J343" s="26" t="n">
        <x:f>'500件商品'!O343</x:f>
        <x:v>60</x:v>
      </x:c>
      <x:c r="K343" s="26" t="n">
        <x:f>IF(H343="是",CEILING(I343/J343,1),0)</x:f>
        <x:v>14</x:v>
      </x:c>
      <x:c r="L343" s="26" t="n">
        <x:f>ROUND(I343*G343,0)</x:f>
        <x:v>870</x:v>
      </x:c>
      <x:c r="M343" s="26" t="n">
        <x:f>IF(H343="是",CEILING(L343/J343,1),0)</x:f>
        <x:v>15</x:v>
      </x:c>
      <x:c r="N343" s="26" t="n">
        <x:f>M343-K343</x:f>
        <x:v>1</x:v>
      </x:c>
      <x:c r="O343" s="24" t="str">
        <x:f>'500件商品'!Q343</x:f>
        <x:v>A區</x:v>
      </x:c>
      <x:c r="P343" s="26" t="n">
        <x:f>'500件商品'!R343</x:f>
        <x:v>37</x:v>
      </x:c>
      <x:c r="Q343" s="24" t="str">
        <x:f>IF(H343="否","非棧板管理",IF(AND(E343="是",N343&gt;0),"季節彈性前移區",IF(OR(C343="Cluster 3",D343&gt;=55),"近端低層棧板區",IF(C343="Cluster 2","中段大貨位",IF(C343="Cluster 4","遠端彈性儲位","中段棧板區")))))</x:f>
        <x:v>近端低層棧板區</x:v>
      </x:c>
      <x:c r="R343" s="24" t="str">
        <x:f>IF(AND(H343="是",E343="是",N343&gt;0),"是","否")</x:f>
        <x:v>否</x:v>
      </x:c>
      <x:c r="S343" s="24" t="str">
        <x:f>IF(H343="否","非本次棧板儲位分析對象",IF(R343="是","旺季前需前移並增加棧板位",IF(N343&gt;0,"需增加棧板位",IF(N343&lt;0,"可釋放部分棧板位","維持現況"))))</x:f>
        <x:v>需增加棧板位</x:v>
      </x:c>
    </x:row>
    <x:row r="344">
      <x:c r="A344" s="24" t="str">
        <x:f>'500件商品'!A344</x:f>
        <x:v>PX0340</x:v>
      </x:c>
      <x:c r="B344" s="24" t="str">
        <x:f>'500件商品'!B344</x:f>
        <x:v>收納箱-箱裝</x:v>
      </x:c>
      <x:c r="C344" s="24" t="str">
        <x:f>'500件商品'!D344</x:f>
        <x:v>Cluster 2</x:v>
      </x:c>
      <x:c r="D344" s="26" t="n">
        <x:f>'500件商品'!F344</x:f>
        <x:v>30</x:v>
      </x:c>
      <x:c r="E344" s="24" t="str">
        <x:f>'500件商品'!K344</x:f>
        <x:v>否</x:v>
      </x:c>
      <x:c r="F344" s="24" t="str">
        <x:f>'500件商品'!L344</x:f>
      </x:c>
      <x:c r="G344" s="28" t="n">
        <x:f>'500件商品'!M344</x:f>
        <x:v>1</x:v>
      </x:c>
      <x:c r="H344" s="24" t="str">
        <x:f>'500件商品'!P344</x:f>
        <x:v>是</x:v>
      </x:c>
      <x:c r="I344" s="26" t="n">
        <x:f>'500件商品'!N344</x:f>
        <x:v>252</x:v>
      </x:c>
      <x:c r="J344" s="26" t="n">
        <x:f>'500件商品'!O344</x:f>
        <x:v>20</x:v>
      </x:c>
      <x:c r="K344" s="26" t="n">
        <x:f>IF(H344="是",CEILING(I344/J344,1),0)</x:f>
        <x:v>13</x:v>
      </x:c>
      <x:c r="L344" s="26" t="n">
        <x:f>ROUND(I344*G344,0)</x:f>
        <x:v>252</x:v>
      </x:c>
      <x:c r="M344" s="26" t="n">
        <x:f>IF(H344="是",CEILING(L344/J344,1),0)</x:f>
        <x:v>13</x:v>
      </x:c>
      <x:c r="N344" s="26" t="n">
        <x:f>M344-K344</x:f>
        <x:v>0</x:v>
      </x:c>
      <x:c r="O344" s="24" t="str">
        <x:f>'500件商品'!Q344</x:f>
        <x:v>彈性區</x:v>
      </x:c>
      <x:c r="P344" s="26" t="n">
        <x:f>'500件商品'!R344</x:f>
        <x:v>51</x:v>
      </x:c>
      <x:c r="Q344" s="24" t="str">
        <x:f>IF(H344="否","非棧板管理",IF(AND(E344="是",N344&gt;0),"季節彈性前移區",IF(OR(C344="Cluster 3",D344&gt;=55),"近端低層棧板區",IF(C344="Cluster 2","中段大貨位",IF(C344="Cluster 4","遠端彈性儲位","中段棧板區")))))</x:f>
        <x:v>中段大貨位</x:v>
      </x:c>
      <x:c r="R344" s="24" t="str">
        <x:f>IF(AND(H344="是",E344="是",N344&gt;0),"是","否")</x:f>
        <x:v>否</x:v>
      </x:c>
      <x:c r="S344" s="24" t="str">
        <x:f>IF(H344="否","非本次棧板儲位分析對象",IF(R344="是","旺季前需前移並增加棧板位",IF(N344&gt;0,"需增加棧板位",IF(N344&lt;0,"可釋放部分棧板位","維持現況"))))</x:f>
        <x:v>維持現況</x:v>
      </x:c>
    </x:row>
    <x:row r="345">
      <x:c r="A345" s="24" t="str">
        <x:f>'500件商品'!A345</x:f>
        <x:v>PX0341</x:v>
      </x:c>
      <x:c r="B345" s="24" t="str">
        <x:f>'500件商品'!B345</x:f>
        <x:v>乾電池組-小包裝</x:v>
      </x:c>
      <x:c r="C345" s="24" t="str">
        <x:f>'500件商品'!D345</x:f>
        <x:v>Cluster 5</x:v>
      </x:c>
      <x:c r="D345" s="26" t="n">
        <x:f>'500件商品'!F345</x:f>
        <x:v>41</x:v>
      </x:c>
      <x:c r="E345" s="24" t="str">
        <x:f>'500件商品'!K345</x:f>
        <x:v>否</x:v>
      </x:c>
      <x:c r="F345" s="24" t="str">
        <x:f>'500件商品'!L345</x:f>
      </x:c>
      <x:c r="G345" s="28" t="n">
        <x:f>'500件商品'!M345</x:f>
        <x:v>1</x:v>
      </x:c>
      <x:c r="H345" s="24" t="str">
        <x:f>'500件商品'!P345</x:f>
        <x:v>是</x:v>
      </x:c>
      <x:c r="I345" s="26" t="n">
        <x:f>'500件商品'!N345</x:f>
        <x:v>330</x:v>
      </x:c>
      <x:c r="J345" s="26" t="n">
        <x:f>'500件商品'!O345</x:f>
        <x:v>72</x:v>
      </x:c>
      <x:c r="K345" s="26" t="n">
        <x:f>IF(H345="是",CEILING(I345/J345,1),0)</x:f>
        <x:v>5</x:v>
      </x:c>
      <x:c r="L345" s="26" t="n">
        <x:f>ROUND(I345*G345,0)</x:f>
        <x:v>330</x:v>
      </x:c>
      <x:c r="M345" s="26" t="n">
        <x:f>IF(H345="是",CEILING(L345/J345,1),0)</x:f>
        <x:v>5</x:v>
      </x:c>
      <x:c r="N345" s="26" t="n">
        <x:f>M345-K345</x:f>
        <x:v>0</x:v>
      </x:c>
      <x:c r="O345" s="24" t="str">
        <x:f>'500件商品'!Q345</x:f>
        <x:v>彈性區</x:v>
      </x:c>
      <x:c r="P345" s="26" t="n">
        <x:f>'500件商品'!R345</x:f>
        <x:v>50</x:v>
      </x:c>
      <x:c r="Q345" s="24" t="str">
        <x:f>IF(H345="否","非棧板管理",IF(AND(E345="是",N345&gt;0),"季節彈性前移區",IF(OR(C345="Cluster 3",D345&gt;=55),"近端低層棧板區",IF(C345="Cluster 2","中段大貨位",IF(C345="Cluster 4","遠端彈性儲位","中段棧板區")))))</x:f>
        <x:v>中段棧板區</x:v>
      </x:c>
      <x:c r="R345" s="24" t="str">
        <x:f>IF(AND(H345="是",E345="是",N345&gt;0),"是","否")</x:f>
        <x:v>否</x:v>
      </x:c>
      <x:c r="S345" s="24" t="str">
        <x:f>IF(H345="否","非本次棧板儲位分析對象",IF(R345="是","旺季前需前移並增加棧板位",IF(N345&gt;0,"需增加棧板位",IF(N345&lt;0,"可釋放部分棧板位","維持現況"))))</x:f>
        <x:v>維持現況</x:v>
      </x:c>
    </x:row>
    <x:row r="346">
      <x:c r="A346" s="24" t="str">
        <x:f>'500件商品'!A346</x:f>
        <x:v>PX0342</x:v>
      </x:c>
      <x:c r="B346" s="24" t="str">
        <x:f>'500件商品'!B346</x:f>
        <x:v>餅乾箱-標準箱</x:v>
      </x:c>
      <x:c r="C346" s="24" t="str">
        <x:f>'500件商品'!D346</x:f>
        <x:v>Cluster 5</x:v>
      </x:c>
      <x:c r="D346" s="26" t="n">
        <x:f>'500件商品'!F346</x:f>
        <x:v>55</x:v>
      </x:c>
      <x:c r="E346" s="24" t="str">
        <x:f>'500件商品'!K346</x:f>
        <x:v>否</x:v>
      </x:c>
      <x:c r="F346" s="24" t="str">
        <x:f>'500件商品'!L346</x:f>
      </x:c>
      <x:c r="G346" s="28" t="n">
        <x:f>'500件商品'!M346</x:f>
        <x:v>1</x:v>
      </x:c>
      <x:c r="H346" s="24" t="str">
        <x:f>'500件商品'!P346</x:f>
        <x:v>是</x:v>
      </x:c>
      <x:c r="I346" s="26" t="n">
        <x:f>'500件商品'!N346</x:f>
        <x:v>225</x:v>
      </x:c>
      <x:c r="J346" s="26" t="n">
        <x:f>'500件商品'!O346</x:f>
        <x:v>48</x:v>
      </x:c>
      <x:c r="K346" s="26" t="n">
        <x:f>IF(H346="是",CEILING(I346/J346,1),0)</x:f>
        <x:v>5</x:v>
      </x:c>
      <x:c r="L346" s="26" t="n">
        <x:f>ROUND(I346*G346,0)</x:f>
        <x:v>225</x:v>
      </x:c>
      <x:c r="M346" s="26" t="n">
        <x:f>IF(H346="是",CEILING(L346/J346,1),0)</x:f>
        <x:v>5</x:v>
      </x:c>
      <x:c r="N346" s="26" t="n">
        <x:f>M346-K346</x:f>
        <x:v>0</x:v>
      </x:c>
      <x:c r="O346" s="24" t="str">
        <x:f>'500件商品'!Q346</x:f>
        <x:v>A區</x:v>
      </x:c>
      <x:c r="P346" s="26" t="n">
        <x:f>'500件商品'!R346</x:f>
        <x:v>28</x:v>
      </x:c>
      <x:c r="Q346" s="24" t="str">
        <x:f>IF(H346="否","非棧板管理",IF(AND(E346="是",N346&gt;0),"季節彈性前移區",IF(OR(C346="Cluster 3",D346&gt;=55),"近端低層棧板區",IF(C346="Cluster 2","中段大貨位",IF(C346="Cluster 4","遠端彈性儲位","中段棧板區")))))</x:f>
        <x:v>近端低層棧板區</x:v>
      </x:c>
      <x:c r="R346" s="24" t="str">
        <x:f>IF(AND(H346="是",E346="是",N346&gt;0),"是","否")</x:f>
        <x:v>否</x:v>
      </x:c>
      <x:c r="S346" s="24" t="str">
        <x:f>IF(H346="否","非本次棧板儲位分析對象",IF(R346="是","旺季前需前移並增加棧板位",IF(N346&gt;0,"需增加棧板位",IF(N346&lt;0,"可釋放部分棧板位","維持現況"))))</x:f>
        <x:v>維持現況</x:v>
      </x:c>
    </x:row>
    <x:row r="347">
      <x:c r="A347" s="24" t="str">
        <x:f>'500件商品'!A347</x:f>
        <x:v>PX0343</x:v>
      </x:c>
      <x:c r="B347" s="24" t="str">
        <x:f>'500件商品'!B347</x:f>
        <x:v>擦手紙箱-箱裝</x:v>
      </x:c>
      <x:c r="C347" s="24" t="str">
        <x:f>'500件商品'!D347</x:f>
        <x:v>Cluster 5</x:v>
      </x:c>
      <x:c r="D347" s="26" t="n">
        <x:f>'500件商品'!F347</x:f>
        <x:v>9</x:v>
      </x:c>
      <x:c r="E347" s="24" t="str">
        <x:f>'500件商品'!K347</x:f>
        <x:v>否</x:v>
      </x:c>
      <x:c r="F347" s="24" t="str">
        <x:f>'500件商品'!L347</x:f>
      </x:c>
      <x:c r="G347" s="28" t="n">
        <x:f>'500件商品'!M347</x:f>
        <x:v>1</x:v>
      </x:c>
      <x:c r="H347" s="24" t="str">
        <x:f>'500件商品'!P347</x:f>
        <x:v>否</x:v>
      </x:c>
      <x:c r="I347" s="26" t="n">
        <x:f>'500件商品'!N347</x:f>
        <x:v>43</x:v>
      </x:c>
      <x:c r="J347" s="26" t="str">
        <x:f>'500件商品'!O347</x:f>
      </x:c>
      <x:c r="K347" s="26" t="n">
        <x:f>IF(H347="是",CEILING(I347/J347,1),0)</x:f>
        <x:v>0</x:v>
      </x:c>
      <x:c r="L347" s="26" t="n">
        <x:f>ROUND(I347*G347,0)</x:f>
        <x:v>43</x:v>
      </x:c>
      <x:c r="M347" s="26" t="n">
        <x:f>IF(H347="是",CEILING(L347/J347,1),0)</x:f>
        <x:v>0</x:v>
      </x:c>
      <x:c r="N347" s="26" t="n">
        <x:f>M347-K347</x:f>
        <x:v>0</x:v>
      </x:c>
      <x:c r="O347" s="24" t="str">
        <x:f>'500件商品'!Q347</x:f>
        <x:v>3區</x:v>
      </x:c>
      <x:c r="P347" s="26" t="n">
        <x:f>'500件商品'!R347</x:f>
        <x:v>35</x:v>
      </x:c>
      <x:c r="Q347" s="24" t="str">
        <x:f>IF(H347="否","非棧板管理",IF(AND(E347="是",N347&gt;0),"季節彈性前移區",IF(OR(C347="Cluster 3",D347&gt;=55),"近端低層棧板區",IF(C347="Cluster 2","中段大貨位",IF(C347="Cluster 4","遠端彈性儲位","中段棧板區")))))</x:f>
        <x:v>非棧板管理</x:v>
      </x:c>
      <x:c r="R347" s="24" t="str">
        <x:f>IF(AND(H347="是",E347="是",N347&gt;0),"是","否")</x:f>
        <x:v>否</x:v>
      </x:c>
      <x:c r="S347" s="24" t="str">
        <x:f>IF(H347="否","非本次棧板儲位分析對象",IF(R347="是","旺季前需前移並增加棧板位",IF(N347&gt;0,"需增加棧板位",IF(N347&lt;0,"可釋放部分棧板位","維持現況"))))</x:f>
        <x:v>非本次棧板儲位分析對象</x:v>
      </x:c>
    </x:row>
    <x:row r="348">
      <x:c r="A348" s="24" t="str">
        <x:f>'500件商品'!A348</x:f>
        <x:v>PX0344</x:v>
      </x:c>
      <x:c r="B348" s="24" t="str">
        <x:f>'500件商品'!B348</x:f>
        <x:v>玻璃瓶醬料-箱裝</x:v>
      </x:c>
      <x:c r="C348" s="24" t="str">
        <x:f>'500件商品'!D348</x:f>
        <x:v>Cluster 1</x:v>
      </x:c>
      <x:c r="D348" s="26" t="n">
        <x:f>'500件商品'!F348</x:f>
        <x:v>25</x:v>
      </x:c>
      <x:c r="E348" s="24" t="str">
        <x:f>'500件商品'!K348</x:f>
        <x:v>否</x:v>
      </x:c>
      <x:c r="F348" s="24" t="str">
        <x:f>'500件商品'!L348</x:f>
      </x:c>
      <x:c r="G348" s="28" t="n">
        <x:f>'500件商品'!M348</x:f>
        <x:v>1</x:v>
      </x:c>
      <x:c r="H348" s="24" t="str">
        <x:f>'500件商品'!P348</x:f>
        <x:v>否</x:v>
      </x:c>
      <x:c r="I348" s="26" t="n">
        <x:f>'500件商品'!N348</x:f>
        <x:v>115</x:v>
      </x:c>
      <x:c r="J348" s="26" t="str">
        <x:f>'500件商品'!O348</x:f>
      </x:c>
      <x:c r="K348" s="26" t="n">
        <x:f>IF(H348="是",CEILING(I348/J348,1),0)</x:f>
        <x:v>0</x:v>
      </x:c>
      <x:c r="L348" s="26" t="n">
        <x:f>ROUND(I348*G348,0)</x:f>
        <x:v>115</x:v>
      </x:c>
      <x:c r="M348" s="26" t="n">
        <x:f>IF(H348="是",CEILING(L348/J348,1),0)</x:f>
        <x:v>0</x:v>
      </x:c>
      <x:c r="N348" s="26" t="n">
        <x:f>M348-K348</x:f>
        <x:v>0</x:v>
      </x:c>
      <x:c r="O348" s="24" t="str">
        <x:f>'500件商品'!Q348</x:f>
        <x:v>3區</x:v>
      </x:c>
      <x:c r="P348" s="26" t="n">
        <x:f>'500件商品'!R348</x:f>
        <x:v>49</x:v>
      </x:c>
      <x:c r="Q348" s="24" t="str">
        <x:f>IF(H348="否","非棧板管理",IF(AND(E348="是",N348&gt;0),"季節彈性前移區",IF(OR(C348="Cluster 3",D348&gt;=55),"近端低層棧板區",IF(C348="Cluster 2","中段大貨位",IF(C348="Cluster 4","遠端彈性儲位","中段棧板區")))))</x:f>
        <x:v>非棧板管理</x:v>
      </x:c>
      <x:c r="R348" s="24" t="str">
        <x:f>IF(AND(H348="是",E348="是",N348&gt;0),"是","否")</x:f>
        <x:v>否</x:v>
      </x:c>
      <x:c r="S348" s="24" t="str">
        <x:f>IF(H348="否","非本次棧板儲位分析對象",IF(R348="是","旺季前需前移並增加棧板位",IF(N348&gt;0,"需增加棧板位",IF(N348&lt;0,"可釋放部分棧板位","維持現況"))))</x:f>
        <x:v>非本次棧板儲位分析對象</x:v>
      </x:c>
    </x:row>
    <x:row r="349">
      <x:c r="A349" s="24" t="str">
        <x:f>'500件商品'!A349</x:f>
        <x:v>PX0345</x:v>
      </x:c>
      <x:c r="B349" s="24" t="str">
        <x:f>'500件商品'!B349</x:f>
        <x:v>抽取式衛生紙-小包裝</x:v>
      </x:c>
      <x:c r="C349" s="24" t="str">
        <x:f>'500件商品'!D349</x:f>
        <x:v>Cluster 2</x:v>
      </x:c>
      <x:c r="D349" s="26" t="n">
        <x:f>'500件商品'!F349</x:f>
        <x:v>26</x:v>
      </x:c>
      <x:c r="E349" s="24" t="str">
        <x:f>'500件商品'!K349</x:f>
        <x:v>否</x:v>
      </x:c>
      <x:c r="F349" s="24" t="str">
        <x:f>'500件商品'!L349</x:f>
      </x:c>
      <x:c r="G349" s="28" t="n">
        <x:f>'500件商品'!M349</x:f>
        <x:v>1</x:v>
      </x:c>
      <x:c r="H349" s="24" t="str">
        <x:f>'500件商品'!P349</x:f>
        <x:v>是</x:v>
      </x:c>
      <x:c r="I349" s="26" t="n">
        <x:f>'500件商品'!N349</x:f>
        <x:v>161</x:v>
      </x:c>
      <x:c r="J349" s="26" t="n">
        <x:f>'500件商品'!O349</x:f>
        <x:v>30</x:v>
      </x:c>
      <x:c r="K349" s="26" t="n">
        <x:f>IF(H349="是",CEILING(I349/J349,1),0)</x:f>
        <x:v>6</x:v>
      </x:c>
      <x:c r="L349" s="26" t="n">
        <x:f>ROUND(I349*G349,0)</x:f>
        <x:v>161</x:v>
      </x:c>
      <x:c r="M349" s="26" t="n">
        <x:f>IF(H349="是",CEILING(L349/J349,1),0)</x:f>
        <x:v>6</x:v>
      </x:c>
      <x:c r="N349" s="26" t="n">
        <x:f>M349-K349</x:f>
        <x:v>0</x:v>
      </x:c>
      <x:c r="O349" s="24" t="str">
        <x:f>'500件商品'!Q349</x:f>
        <x:v>彈性區</x:v>
      </x:c>
      <x:c r="P349" s="26" t="n">
        <x:f>'500件商品'!R349</x:f>
        <x:v>62</x:v>
      </x:c>
      <x:c r="Q349" s="24" t="str">
        <x:f>IF(H349="否","非棧板管理",IF(AND(E349="是",N349&gt;0),"季節彈性前移區",IF(OR(C349="Cluster 3",D349&gt;=55),"近端低層棧板區",IF(C349="Cluster 2","中段大貨位",IF(C349="Cluster 4","遠端彈性儲位","中段棧板區")))))</x:f>
        <x:v>中段大貨位</x:v>
      </x:c>
      <x:c r="R349" s="24" t="str">
        <x:f>IF(AND(H349="是",E349="是",N349&gt;0),"是","否")</x:f>
        <x:v>否</x:v>
      </x:c>
      <x:c r="S349" s="24" t="str">
        <x:f>IF(H349="否","非本次棧板儲位分析對象",IF(R349="是","旺季前需前移並增加棧板位",IF(N349&gt;0,"需增加棧板位",IF(N349&lt;0,"可釋放部分棧板位","維持現況"))))</x:f>
        <x:v>維持現況</x:v>
      </x:c>
    </x:row>
    <x:row r="350">
      <x:c r="A350" s="24" t="str">
        <x:f>'500件商品'!A350</x:f>
        <x:v>PX0346</x:v>
      </x:c>
      <x:c r="B350" s="24" t="str">
        <x:f>'500件商品'!B350</x:f>
        <x:v>沐浴乳-箱裝</x:v>
      </x:c>
      <x:c r="C350" s="24" t="str">
        <x:f>'500件商品'!D350</x:f>
        <x:v>Cluster 1</x:v>
      </x:c>
      <x:c r="D350" s="26" t="n">
        <x:f>'500件商品'!F350</x:f>
        <x:v>5</x:v>
      </x:c>
      <x:c r="E350" s="24" t="str">
        <x:f>'500件商品'!K350</x:f>
        <x:v>否</x:v>
      </x:c>
      <x:c r="F350" s="24" t="str">
        <x:f>'500件商品'!L350</x:f>
      </x:c>
      <x:c r="G350" s="28" t="n">
        <x:f>'500件商品'!M350</x:f>
        <x:v>1</x:v>
      </x:c>
      <x:c r="H350" s="24" t="str">
        <x:f>'500件商品'!P350</x:f>
        <x:v>是</x:v>
      </x:c>
      <x:c r="I350" s="26" t="n">
        <x:f>'500件商品'!N350</x:f>
        <x:v>38</x:v>
      </x:c>
      <x:c r="J350" s="26" t="n">
        <x:f>'500件商品'!O350</x:f>
        <x:v>72</x:v>
      </x:c>
      <x:c r="K350" s="26" t="n">
        <x:f>IF(H350="是",CEILING(I350/J350,1),0)</x:f>
        <x:v>1</x:v>
      </x:c>
      <x:c r="L350" s="26" t="n">
        <x:f>ROUND(I350*G350,0)</x:f>
        <x:v>38</x:v>
      </x:c>
      <x:c r="M350" s="26" t="n">
        <x:f>IF(H350="是",CEILING(L350/J350,1),0)</x:f>
        <x:v>1</x:v>
      </x:c>
      <x:c r="N350" s="26" t="n">
        <x:f>M350-K350</x:f>
        <x:v>0</x:v>
      </x:c>
      <x:c r="O350" s="24" t="str">
        <x:f>'500件商品'!Q350</x:f>
        <x:v>彈性區</x:v>
      </x:c>
      <x:c r="P350" s="26" t="n">
        <x:f>'500件商品'!R350</x:f>
        <x:v>50</x:v>
      </x:c>
      <x:c r="Q350" s="24" t="str">
        <x:f>IF(H350="否","非棧板管理",IF(AND(E350="是",N350&gt;0),"季節彈性前移區",IF(OR(C350="Cluster 3",D350&gt;=55),"近端低層棧板區",IF(C350="Cluster 2","中段大貨位",IF(C350="Cluster 4","遠端彈性儲位","中段棧板區")))))</x:f>
        <x:v>中段棧板區</x:v>
      </x:c>
      <x:c r="R350" s="24" t="str">
        <x:f>IF(AND(H350="是",E350="是",N350&gt;0),"是","否")</x:f>
        <x:v>否</x:v>
      </x:c>
      <x:c r="S350" s="24" t="str">
        <x:f>IF(H350="否","非本次棧板儲位分析對象",IF(R350="是","旺季前需前移並增加棧板位",IF(N350&gt;0,"需增加棧板位",IF(N350&lt;0,"可釋放部分棧板位","維持現況"))))</x:f>
        <x:v>維持現況</x:v>
      </x:c>
    </x:row>
    <x:row r="351">
      <x:c r="A351" s="24" t="str">
        <x:f>'500件商品'!A351</x:f>
        <x:v>PX0347</x:v>
      </x:c>
      <x:c r="B351" s="24" t="str">
        <x:f>'500件商品'!B351</x:f>
        <x:v>寵物飼料5kg-小包裝</x:v>
      </x:c>
      <x:c r="C351" s="24" t="str">
        <x:f>'500件商品'!D351</x:f>
        <x:v>Cluster 4</x:v>
      </x:c>
      <x:c r="D351" s="26" t="n">
        <x:f>'500件商品'!F351</x:f>
        <x:v>7</x:v>
      </x:c>
      <x:c r="E351" s="24" t="str">
        <x:f>'500件商品'!K351</x:f>
        <x:v>是</x:v>
      </x:c>
      <x:c r="F351" s="24" t="str">
        <x:f>'500件商品'!L351</x:f>
        <x:v>旺季</x:v>
      </x:c>
      <x:c r="G351" s="28" t="n">
        <x:f>'500件商品'!M351</x:f>
        <x:v>1.8</x:v>
      </x:c>
      <x:c r="H351" s="24" t="str">
        <x:f>'500件商品'!P351</x:f>
        <x:v>是</x:v>
      </x:c>
      <x:c r="I351" s="26" t="n">
        <x:f>'500件商品'!N351</x:f>
        <x:v>104</x:v>
      </x:c>
      <x:c r="J351" s="26" t="n">
        <x:f>'500件商品'!O351</x:f>
        <x:v>18</x:v>
      </x:c>
      <x:c r="K351" s="26" t="n">
        <x:f>IF(H351="是",CEILING(I351/J351,1),0)</x:f>
        <x:v>6</x:v>
      </x:c>
      <x:c r="L351" s="26" t="n">
        <x:f>ROUND(I351*G351,0)</x:f>
        <x:v>187</x:v>
      </x:c>
      <x:c r="M351" s="26" t="n">
        <x:f>IF(H351="是",CEILING(L351/J351,1),0)</x:f>
        <x:v>11</x:v>
      </x:c>
      <x:c r="N351" s="26" t="n">
        <x:f>M351-K351</x:f>
        <x:v>5</x:v>
      </x:c>
      <x:c r="O351" s="24" t="str">
        <x:f>'500件商品'!Q351</x:f>
        <x:v>1區</x:v>
      </x:c>
      <x:c r="P351" s="26" t="n">
        <x:f>'500件商品'!R351</x:f>
        <x:v>42</x:v>
      </x:c>
      <x:c r="Q351" s="24" t="str">
        <x:f>IF(H351="否","非棧板管理",IF(AND(E351="是",N351&gt;0),"季節彈性前移區",IF(OR(C351="Cluster 3",D351&gt;=55),"近端低層棧板區",IF(C351="Cluster 2","中段大貨位",IF(C351="Cluster 4","遠端彈性儲位","中段棧板區")))))</x:f>
        <x:v>季節彈性前移區</x:v>
      </x:c>
      <x:c r="R351" s="24" t="str">
        <x:f>IF(AND(H351="是",E351="是",N351&gt;0),"是","否")</x:f>
        <x:v>是</x:v>
      </x:c>
      <x:c r="S351" s="24" t="str">
        <x:f>IF(H351="否","非本次棧板儲位分析對象",IF(R351="是","旺季前需前移並增加棧板位",IF(N351&gt;0,"需增加棧板位",IF(N351&lt;0,"可釋放部分棧板位","維持現況"))))</x:f>
        <x:v>旺季前需前移並增加棧板位</x:v>
      </x:c>
    </x:row>
    <x:row r="352">
      <x:c r="A352" s="24" t="str">
        <x:f>'500件商品'!A352</x:f>
        <x:v>PX0348</x:v>
      </x:c>
      <x:c r="B352" s="24" t="str">
        <x:f>'500件商品'!B352</x:f>
        <x:v>餐巾紙箱-小包裝</x:v>
      </x:c>
      <x:c r="C352" s="24" t="str">
        <x:f>'500件商品'!D352</x:f>
        <x:v>Cluster 5</x:v>
      </x:c>
      <x:c r="D352" s="26" t="n">
        <x:f>'500件商品'!F352</x:f>
        <x:v>54</x:v>
      </x:c>
      <x:c r="E352" s="24" t="str">
        <x:f>'500件商品'!K352</x:f>
        <x:v>否</x:v>
      </x:c>
      <x:c r="F352" s="24" t="str">
        <x:f>'500件商品'!L352</x:f>
      </x:c>
      <x:c r="G352" s="28" t="n">
        <x:f>'500件商品'!M352</x:f>
        <x:v>1.1</x:v>
      </x:c>
      <x:c r="H352" s="24" t="str">
        <x:f>'500件商品'!P352</x:f>
        <x:v>是</x:v>
      </x:c>
      <x:c r="I352" s="26" t="n">
        <x:f>'500件商品'!N352</x:f>
        <x:v>301</x:v>
      </x:c>
      <x:c r="J352" s="26" t="n">
        <x:f>'500件商品'!O352</x:f>
        <x:v>80</x:v>
      </x:c>
      <x:c r="K352" s="26" t="n">
        <x:f>IF(H352="是",CEILING(I352/J352,1),0)</x:f>
        <x:v>4</x:v>
      </x:c>
      <x:c r="L352" s="26" t="n">
        <x:f>ROUND(I352*G352,0)</x:f>
        <x:v>331</x:v>
      </x:c>
      <x:c r="M352" s="26" t="n">
        <x:f>IF(H352="是",CEILING(L352/J352,1),0)</x:f>
        <x:v>5</x:v>
      </x:c>
      <x:c r="N352" s="26" t="n">
        <x:f>M352-K352</x:f>
        <x:v>1</x:v>
      </x:c>
      <x:c r="O352" s="24" t="str">
        <x:f>'500件商品'!Q352</x:f>
        <x:v>3區</x:v>
      </x:c>
      <x:c r="P352" s="26" t="n">
        <x:f>'500件商品'!R352</x:f>
        <x:v>44</x:v>
      </x:c>
      <x:c r="Q352" s="24" t="str">
        <x:f>IF(H352="否","非棧板管理",IF(AND(E352="是",N352&gt;0),"季節彈性前移區",IF(OR(C352="Cluster 3",D352&gt;=55),"近端低層棧板區",IF(C352="Cluster 2","中段大貨位",IF(C352="Cluster 4","遠端彈性儲位","中段棧板區")))))</x:f>
        <x:v>中段棧板區</x:v>
      </x:c>
      <x:c r="R352" s="24" t="str">
        <x:f>IF(AND(H352="是",E352="是",N352&gt;0),"是","否")</x:f>
        <x:v>否</x:v>
      </x:c>
      <x:c r="S352" s="24" t="str">
        <x:f>IF(H352="否","非本次棧板儲位分析對象",IF(R352="是","旺季前需前移並增加棧板位",IF(N352&gt;0,"需增加棧板位",IF(N352&lt;0,"可釋放部分棧板位","維持現況"))))</x:f>
        <x:v>需增加棧板位</x:v>
      </x:c>
    </x:row>
    <x:row r="353">
      <x:c r="A353" s="24" t="str">
        <x:f>'500件商品'!A353</x:f>
        <x:v>PX0349</x:v>
      </x:c>
      <x:c r="B353" s="24" t="str">
        <x:f>'500件商品'!B353</x:f>
        <x:v>季節禮盒-促銷組</x:v>
      </x:c>
      <x:c r="C353" s="24" t="str">
        <x:f>'500件商品'!D353</x:f>
        <x:v>Cluster 4</x:v>
      </x:c>
      <x:c r="D353" s="26" t="n">
        <x:f>'500件商品'!F353</x:f>
        <x:v>23</x:v>
      </x:c>
      <x:c r="E353" s="24" t="str">
        <x:f>'500件商品'!K353</x:f>
        <x:v>是</x:v>
      </x:c>
      <x:c r="F353" s="24" t="str">
        <x:f>'500件商品'!L353</x:f>
        <x:v>1-2月</x:v>
      </x:c>
      <x:c r="G353" s="28" t="n">
        <x:f>'500件商品'!M353</x:f>
        <x:v>2.5</x:v>
      </x:c>
      <x:c r="H353" s="24" t="str">
        <x:f>'500件商品'!P353</x:f>
        <x:v>是</x:v>
      </x:c>
      <x:c r="I353" s="26" t="n">
        <x:f>'500件商品'!N353</x:f>
        <x:v>237</x:v>
      </x:c>
      <x:c r="J353" s="26" t="n">
        <x:f>'500件商品'!O353</x:f>
        <x:v>20</x:v>
      </x:c>
      <x:c r="K353" s="26" t="n">
        <x:f>IF(H353="是",CEILING(I353/J353,1),0)</x:f>
        <x:v>12</x:v>
      </x:c>
      <x:c r="L353" s="26" t="n">
        <x:f>ROUND(I353*G353,0)</x:f>
        <x:v>593</x:v>
      </x:c>
      <x:c r="M353" s="26" t="n">
        <x:f>IF(H353="是",CEILING(L353/J353,1),0)</x:f>
        <x:v>30</x:v>
      </x:c>
      <x:c r="N353" s="26" t="n">
        <x:f>M353-K353</x:f>
        <x:v>18</x:v>
      </x:c>
      <x:c r="O353" s="24" t="str">
        <x:f>'500件商品'!Q353</x:f>
        <x:v>A區</x:v>
      </x:c>
      <x:c r="P353" s="26" t="n">
        <x:f>'500件商品'!R353</x:f>
        <x:v>36</x:v>
      </x:c>
      <x:c r="Q353" s="24" t="str">
        <x:f>IF(H353="否","非棧板管理",IF(AND(E353="是",N353&gt;0),"季節彈性前移區",IF(OR(C353="Cluster 3",D353&gt;=55),"近端低層棧板區",IF(C353="Cluster 2","中段大貨位",IF(C353="Cluster 4","遠端彈性儲位","中段棧板區")))))</x:f>
        <x:v>季節彈性前移區</x:v>
      </x:c>
      <x:c r="R353" s="24" t="str">
        <x:f>IF(AND(H353="是",E353="是",N353&gt;0),"是","否")</x:f>
        <x:v>是</x:v>
      </x:c>
      <x:c r="S353" s="24" t="str">
        <x:f>IF(H353="否","非本次棧板儲位分析對象",IF(R353="是","旺季前需前移並增加棧板位",IF(N353&gt;0,"需增加棧板位",IF(N353&lt;0,"可釋放部分棧板位","維持現況"))))</x:f>
        <x:v>旺季前需前移並增加棧板位</x:v>
      </x:c>
    </x:row>
    <x:row r="354">
      <x:c r="A354" s="24" t="str">
        <x:f>'500件商品'!A354</x:f>
        <x:v>PX0350</x:v>
      </x:c>
      <x:c r="B354" s="24" t="str">
        <x:f>'500件商品'!B354</x:f>
        <x:v>垃圾袋-箱裝</x:v>
      </x:c>
      <x:c r="C354" s="24" t="str">
        <x:f>'500件商品'!D354</x:f>
        <x:v>Cluster 5</x:v>
      </x:c>
      <x:c r="D354" s="26" t="n">
        <x:f>'500件商品'!F354</x:f>
        <x:v>32</x:v>
      </x:c>
      <x:c r="E354" s="24" t="str">
        <x:f>'500件商品'!K354</x:f>
        <x:v>否</x:v>
      </x:c>
      <x:c r="F354" s="24" t="str">
        <x:f>'500件商品'!L354</x:f>
      </x:c>
      <x:c r="G354" s="28" t="n">
        <x:f>'500件商品'!M354</x:f>
        <x:v>1</x:v>
      </x:c>
      <x:c r="H354" s="24" t="str">
        <x:f>'500件商品'!P354</x:f>
        <x:v>是</x:v>
      </x:c>
      <x:c r="I354" s="26" t="n">
        <x:f>'500件商品'!N354</x:f>
        <x:v>298</x:v>
      </x:c>
      <x:c r="J354" s="26" t="n">
        <x:f>'500件商品'!O354</x:f>
        <x:v>72</x:v>
      </x:c>
      <x:c r="K354" s="26" t="n">
        <x:f>IF(H354="是",CEILING(I354/J354,1),0)</x:f>
        <x:v>5</x:v>
      </x:c>
      <x:c r="L354" s="26" t="n">
        <x:f>ROUND(I354*G354,0)</x:f>
        <x:v>298</x:v>
      </x:c>
      <x:c r="M354" s="26" t="n">
        <x:f>IF(H354="是",CEILING(L354/J354,1),0)</x:f>
        <x:v>5</x:v>
      </x:c>
      <x:c r="N354" s="26" t="n">
        <x:f>M354-K354</x:f>
        <x:v>0</x:v>
      </x:c>
      <x:c r="O354" s="24" t="str">
        <x:f>'500件商品'!Q354</x:f>
        <x:v>1區</x:v>
      </x:c>
      <x:c r="P354" s="26" t="n">
        <x:f>'500件商品'!R354</x:f>
        <x:v>43</x:v>
      </x:c>
      <x:c r="Q354" s="24" t="str">
        <x:f>IF(H354="否","非棧板管理",IF(AND(E354="是",N354&gt;0),"季節彈性前移區",IF(OR(C354="Cluster 3",D354&gt;=55),"近端低層棧板區",IF(C354="Cluster 2","中段大貨位",IF(C354="Cluster 4","遠端彈性儲位","中段棧板區")))))</x:f>
        <x:v>中段棧板區</x:v>
      </x:c>
      <x:c r="R354" s="24" t="str">
        <x:f>IF(AND(H354="是",E354="是",N354&gt;0),"是","否")</x:f>
        <x:v>否</x:v>
      </x:c>
      <x:c r="S354" s="24" t="str">
        <x:f>IF(H354="否","非本次棧板儲位分析對象",IF(R354="是","旺季前需前移並增加棧板位",IF(N354&gt;0,"需增加棧板位",IF(N354&lt;0,"可釋放部分棧板位","維持現況"))))</x:f>
        <x:v>維持現況</x:v>
      </x:c>
    </x:row>
    <x:row r="355">
      <x:c r="A355" s="24" t="str">
        <x:f>'500件商品'!A355</x:f>
        <x:v>PX0351</x:v>
      </x:c>
      <x:c r="B355" s="24" t="str">
        <x:f>'500件商品'!B355</x:f>
        <x:v>食用油-小包裝</x:v>
      </x:c>
      <x:c r="C355" s="24" t="str">
        <x:f>'500件商品'!D355</x:f>
        <x:v>Cluster 2</x:v>
      </x:c>
      <x:c r="D355" s="26" t="n">
        <x:f>'500件商品'!F355</x:f>
        <x:v>3</x:v>
      </x:c>
      <x:c r="E355" s="24" t="str">
        <x:f>'500件商品'!K355</x:f>
        <x:v>否</x:v>
      </x:c>
      <x:c r="F355" s="24" t="str">
        <x:f>'500件商品'!L355</x:f>
      </x:c>
      <x:c r="G355" s="28" t="n">
        <x:f>'500件商品'!M355</x:f>
        <x:v>1</x:v>
      </x:c>
      <x:c r="H355" s="24" t="str">
        <x:f>'500件商品'!P355</x:f>
        <x:v>是</x:v>
      </x:c>
      <x:c r="I355" s="26" t="n">
        <x:f>'500件商品'!N355</x:f>
        <x:v>26</x:v>
      </x:c>
      <x:c r="J355" s="26" t="n">
        <x:f>'500件商品'!O355</x:f>
        <x:v>18</x:v>
      </x:c>
      <x:c r="K355" s="26" t="n">
        <x:f>IF(H355="是",CEILING(I355/J355,1),0)</x:f>
        <x:v>2</x:v>
      </x:c>
      <x:c r="L355" s="26" t="n">
        <x:f>ROUND(I355*G355,0)</x:f>
        <x:v>26</x:v>
      </x:c>
      <x:c r="M355" s="26" t="n">
        <x:f>IF(H355="是",CEILING(L355/J355,1),0)</x:f>
        <x:v>2</x:v>
      </x:c>
      <x:c r="N355" s="26" t="n">
        <x:f>M355-K355</x:f>
        <x:v>0</x:v>
      </x:c>
      <x:c r="O355" s="24" t="str">
        <x:f>'500件商品'!Q355</x:f>
        <x:v>遠端區</x:v>
      </x:c>
      <x:c r="P355" s="26" t="n">
        <x:f>'500件商品'!R355</x:f>
        <x:v>73</x:v>
      </x:c>
      <x:c r="Q355" s="24" t="str">
        <x:f>IF(H355="否","非棧板管理",IF(AND(E355="是",N355&gt;0),"季節彈性前移區",IF(OR(C355="Cluster 3",D355&gt;=55),"近端低層棧板區",IF(C355="Cluster 2","中段大貨位",IF(C355="Cluster 4","遠端彈性儲位","中段棧板區")))))</x:f>
        <x:v>中段大貨位</x:v>
      </x:c>
      <x:c r="R355" s="24" t="str">
        <x:f>IF(AND(H355="是",E355="是",N355&gt;0),"是","否")</x:f>
        <x:v>否</x:v>
      </x:c>
      <x:c r="S355" s="24" t="str">
        <x:f>IF(H355="否","非本次棧板儲位分析對象",IF(R355="是","旺季前需前移並增加棧板位",IF(N355&gt;0,"需增加棧板位",IF(N355&lt;0,"可釋放部分棧板位","維持現況"))))</x:f>
        <x:v>維持現況</x:v>
      </x:c>
    </x:row>
    <x:row r="356">
      <x:c r="A356" s="24" t="str">
        <x:f>'500件商品'!A356</x:f>
        <x:v>PX0352</x:v>
      </x:c>
      <x:c r="B356" s="24" t="str">
        <x:f>'500件商品'!B356</x:f>
        <x:v>玻璃保鮮盒-箱裝</x:v>
      </x:c>
      <x:c r="C356" s="24" t="str">
        <x:f>'500件商品'!D356</x:f>
        <x:v>Cluster 1</x:v>
      </x:c>
      <x:c r="D356" s="26" t="n">
        <x:f>'500件商品'!F356</x:f>
        <x:v>25</x:v>
      </x:c>
      <x:c r="E356" s="24" t="str">
        <x:f>'500件商品'!K356</x:f>
        <x:v>否</x:v>
      </x:c>
      <x:c r="F356" s="24" t="str">
        <x:f>'500件商品'!L356</x:f>
      </x:c>
      <x:c r="G356" s="28" t="n">
        <x:f>'500件商品'!M356</x:f>
        <x:v>1.1</x:v>
      </x:c>
      <x:c r="H356" s="24" t="str">
        <x:f>'500件商品'!P356</x:f>
        <x:v>否</x:v>
      </x:c>
      <x:c r="I356" s="26" t="n">
        <x:f>'500件商品'!N356</x:f>
        <x:v>237</x:v>
      </x:c>
      <x:c r="J356" s="26" t="str">
        <x:f>'500件商品'!O356</x:f>
      </x:c>
      <x:c r="K356" s="26" t="n">
        <x:f>IF(H356="是",CEILING(I356/J356,1),0)</x:f>
        <x:v>0</x:v>
      </x:c>
      <x:c r="L356" s="26" t="n">
        <x:f>ROUND(I356*G356,0)</x:f>
        <x:v>261</x:v>
      </x:c>
      <x:c r="M356" s="26" t="n">
        <x:f>IF(H356="是",CEILING(L356/J356,1),0)</x:f>
        <x:v>0</x:v>
      </x:c>
      <x:c r="N356" s="26" t="n">
        <x:f>M356-K356</x:f>
        <x:v>0</x:v>
      </x:c>
      <x:c r="O356" s="24" t="str">
        <x:f>'500件商品'!Q356</x:f>
        <x:v>彈性區</x:v>
      </x:c>
      <x:c r="P356" s="26" t="n">
        <x:f>'500件商品'!R356</x:f>
        <x:v>64</x:v>
      </x:c>
      <x:c r="Q356" s="24" t="str">
        <x:f>IF(H356="否","非棧板管理",IF(AND(E356="是",N356&gt;0),"季節彈性前移區",IF(OR(C356="Cluster 3",D356&gt;=55),"近端低層棧板區",IF(C356="Cluster 2","中段大貨位",IF(C356="Cluster 4","遠端彈性儲位","中段棧板區")))))</x:f>
        <x:v>非棧板管理</x:v>
      </x:c>
      <x:c r="R356" s="24" t="str">
        <x:f>IF(AND(H356="是",E356="是",N356&gt;0),"是","否")</x:f>
        <x:v>否</x:v>
      </x:c>
      <x:c r="S356" s="24" t="str">
        <x:f>IF(H356="否","非本次棧板儲位分析對象",IF(R356="是","旺季前需前移並增加棧板位",IF(N356&gt;0,"需增加棧板位",IF(N356&lt;0,"可釋放部分棧板位","維持現況"))))</x:f>
        <x:v>非本次棧板儲位分析對象</x:v>
      </x:c>
    </x:row>
    <x:row r="357">
      <x:c r="A357" s="24" t="str">
        <x:f>'500件商品'!A357</x:f>
        <x:v>PX0353</x:v>
      </x:c>
      <x:c r="B357" s="24" t="str">
        <x:f>'500件商品'!B357</x:f>
        <x:v>牙刷組-標準箱</x:v>
      </x:c>
      <x:c r="C357" s="24" t="str">
        <x:f>'500件商品'!D357</x:f>
        <x:v>Cluster 2</x:v>
      </x:c>
      <x:c r="D357" s="26" t="n">
        <x:f>'500件商品'!F357</x:f>
        <x:v>44</x:v>
      </x:c>
      <x:c r="E357" s="24" t="str">
        <x:f>'500件商品'!K357</x:f>
        <x:v>否</x:v>
      </x:c>
      <x:c r="F357" s="24" t="str">
        <x:f>'500件商品'!L357</x:f>
      </x:c>
      <x:c r="G357" s="28" t="n">
        <x:f>'500件商品'!M357</x:f>
        <x:v>1</x:v>
      </x:c>
      <x:c r="H357" s="24" t="str">
        <x:f>'500件商品'!P357</x:f>
        <x:v>是</x:v>
      </x:c>
      <x:c r="I357" s="26" t="n">
        <x:f>'500件商品'!N357</x:f>
        <x:v>239</x:v>
      </x:c>
      <x:c r="J357" s="26" t="n">
        <x:f>'500件商品'!O357</x:f>
        <x:v>20</x:v>
      </x:c>
      <x:c r="K357" s="26" t="n">
        <x:f>IF(H357="是",CEILING(I357/J357,1),0)</x:f>
        <x:v>12</x:v>
      </x:c>
      <x:c r="L357" s="26" t="n">
        <x:f>ROUND(I357*G357,0)</x:f>
        <x:v>239</x:v>
      </x:c>
      <x:c r="M357" s="26" t="n">
        <x:f>IF(H357="是",CEILING(L357/J357,1),0)</x:f>
        <x:v>12</x:v>
      </x:c>
      <x:c r="N357" s="26" t="n">
        <x:f>M357-K357</x:f>
        <x:v>0</x:v>
      </x:c>
      <x:c r="O357" s="24" t="str">
        <x:f>'500件商品'!Q357</x:f>
        <x:v>遠端區</x:v>
      </x:c>
      <x:c r="P357" s="26" t="n">
        <x:f>'500件商品'!R357</x:f>
        <x:v>58</x:v>
      </x:c>
      <x:c r="Q357" s="24" t="str">
        <x:f>IF(H357="否","非棧板管理",IF(AND(E357="是",N357&gt;0),"季節彈性前移區",IF(OR(C357="Cluster 3",D357&gt;=55),"近端低層棧板區",IF(C357="Cluster 2","中段大貨位",IF(C357="Cluster 4","遠端彈性儲位","中段棧板區")))))</x:f>
        <x:v>中段大貨位</x:v>
      </x:c>
      <x:c r="R357" s="24" t="str">
        <x:f>IF(AND(H357="是",E357="是",N357&gt;0),"是","否")</x:f>
        <x:v>否</x:v>
      </x:c>
      <x:c r="S357" s="24" t="str">
        <x:f>IF(H357="否","非本次棧板儲位分析對象",IF(R357="是","旺季前需前移並增加棧板位",IF(N357&gt;0,"需增加棧板位",IF(N357&lt;0,"可釋放部分棧板位","維持現況"))))</x:f>
        <x:v>維持現況</x:v>
      </x:c>
    </x:row>
    <x:row r="358">
      <x:c r="A358" s="24" t="str">
        <x:f>'500件商品'!A358</x:f>
        <x:v>PX0354</x:v>
      </x:c>
      <x:c r="B358" s="24" t="str">
        <x:f>'500件商品'!B358</x:f>
        <x:v>手套耗材-補充包</x:v>
      </x:c>
      <x:c r="C358" s="24" t="str">
        <x:f>'500件商品'!D358</x:f>
        <x:v>Cluster 5</x:v>
      </x:c>
      <x:c r="D358" s="26" t="n">
        <x:f>'500件商品'!F358</x:f>
        <x:v>26</x:v>
      </x:c>
      <x:c r="E358" s="24" t="str">
        <x:f>'500件商品'!K358</x:f>
        <x:v>否</x:v>
      </x:c>
      <x:c r="F358" s="24" t="str">
        <x:f>'500件商品'!L358</x:f>
      </x:c>
      <x:c r="G358" s="28" t="n">
        <x:f>'500件商品'!M358</x:f>
        <x:v>1</x:v>
      </x:c>
      <x:c r="H358" s="24" t="str">
        <x:f>'500件商品'!P358</x:f>
        <x:v>否</x:v>
      </x:c>
      <x:c r="I358" s="26" t="n">
        <x:f>'500件商品'!N358</x:f>
        <x:v>220</x:v>
      </x:c>
      <x:c r="J358" s="26" t="str">
        <x:f>'500件商品'!O358</x:f>
      </x:c>
      <x:c r="K358" s="26" t="n">
        <x:f>IF(H358="是",CEILING(I358/J358,1),0)</x:f>
        <x:v>0</x:v>
      </x:c>
      <x:c r="L358" s="26" t="n">
        <x:f>ROUND(I358*G358,0)</x:f>
        <x:v>220</x:v>
      </x:c>
      <x:c r="M358" s="26" t="n">
        <x:f>IF(H358="是",CEILING(L358/J358,1),0)</x:f>
        <x:v>0</x:v>
      </x:c>
      <x:c r="N358" s="26" t="n">
        <x:f>M358-K358</x:f>
        <x:v>0</x:v>
      </x:c>
      <x:c r="O358" s="24" t="str">
        <x:f>'500件商品'!Q358</x:f>
        <x:v>3區</x:v>
      </x:c>
      <x:c r="P358" s="26" t="n">
        <x:f>'500件商品'!R358</x:f>
        <x:v>39</x:v>
      </x:c>
      <x:c r="Q358" s="24" t="str">
        <x:f>IF(H358="否","非棧板管理",IF(AND(E358="是",N358&gt;0),"季節彈性前移區",IF(OR(C358="Cluster 3",D358&gt;=55),"近端低層棧板區",IF(C358="Cluster 2","中段大貨位",IF(C358="Cluster 4","遠端彈性儲位","中段棧板區")))))</x:f>
        <x:v>非棧板管理</x:v>
      </x:c>
      <x:c r="R358" s="24" t="str">
        <x:f>IF(AND(H358="是",E358="是",N358&gt;0),"是","否")</x:f>
        <x:v>否</x:v>
      </x:c>
      <x:c r="S358" s="24" t="str">
        <x:f>IF(H358="否","非本次棧板儲位分析對象",IF(R358="是","旺季前需前移並增加棧板位",IF(N358&gt;0,"需增加棧板位",IF(N358&lt;0,"可釋放部分棧板位","維持現況"))))</x:f>
        <x:v>非本次棧板儲位分析對象</x:v>
      </x:c>
    </x:row>
    <x:row r="359">
      <x:c r="A359" s="24" t="str">
        <x:f>'500件商品'!A359</x:f>
        <x:v>PX0355</x:v>
      </x:c>
      <x:c r="B359" s="24" t="str">
        <x:f>'500件商品'!B359</x:f>
        <x:v>中秋禮盒-促銷組</x:v>
      </x:c>
      <x:c r="C359" s="24" t="str">
        <x:f>'500件商品'!D359</x:f>
        <x:v>Cluster 4</x:v>
      </x:c>
      <x:c r="D359" s="26" t="n">
        <x:f>'500件商品'!F359</x:f>
        <x:v>24</x:v>
      </x:c>
      <x:c r="E359" s="24" t="str">
        <x:f>'500件商品'!K359</x:f>
        <x:v>是</x:v>
      </x:c>
      <x:c r="F359" s="24" t="str">
        <x:f>'500件商品'!L359</x:f>
        <x:v>1-2月</x:v>
      </x:c>
      <x:c r="G359" s="28" t="n">
        <x:f>'500件商品'!M359</x:f>
        <x:v>1.8</x:v>
      </x:c>
      <x:c r="H359" s="24" t="str">
        <x:f>'500件商品'!P359</x:f>
        <x:v>是</x:v>
      </x:c>
      <x:c r="I359" s="26" t="n">
        <x:f>'500件商品'!N359</x:f>
        <x:v>45</x:v>
      </x:c>
      <x:c r="J359" s="26" t="n">
        <x:f>'500件商品'!O359</x:f>
        <x:v>20</x:v>
      </x:c>
      <x:c r="K359" s="26" t="n">
        <x:f>IF(H359="是",CEILING(I359/J359,1),0)</x:f>
        <x:v>3</x:v>
      </x:c>
      <x:c r="L359" s="26" t="n">
        <x:f>ROUND(I359*G359,0)</x:f>
        <x:v>81</x:v>
      </x:c>
      <x:c r="M359" s="26" t="n">
        <x:f>IF(H359="是",CEILING(L359/J359,1),0)</x:f>
        <x:v>5</x:v>
      </x:c>
      <x:c r="N359" s="26" t="n">
        <x:f>M359-K359</x:f>
        <x:v>2</x:v>
      </x:c>
      <x:c r="O359" s="24" t="str">
        <x:f>'500件商品'!Q359</x:f>
        <x:v>K區</x:v>
      </x:c>
      <x:c r="P359" s="26" t="n">
        <x:f>'500件商品'!R359</x:f>
        <x:v>59</x:v>
      </x:c>
      <x:c r="Q359" s="24" t="str">
        <x:f>IF(H359="否","非棧板管理",IF(AND(E359="是",N359&gt;0),"季節彈性前移區",IF(OR(C359="Cluster 3",D359&gt;=55),"近端低層棧板區",IF(C359="Cluster 2","中段大貨位",IF(C359="Cluster 4","遠端彈性儲位","中段棧板區")))))</x:f>
        <x:v>季節彈性前移區</x:v>
      </x:c>
      <x:c r="R359" s="24" t="str">
        <x:f>IF(AND(H359="是",E359="是",N359&gt;0),"是","否")</x:f>
        <x:v>是</x:v>
      </x:c>
      <x:c r="S359" s="24" t="str">
        <x:f>IF(H359="否","非本次棧板儲位分析對象",IF(R359="是","旺季前需前移並增加棧板位",IF(N359&gt;0,"需增加棧板位",IF(N359&lt;0,"可釋放部分棧板位","維持現況"))))</x:f>
        <x:v>旺季前需前移並增加棧板位</x:v>
      </x:c>
    </x:row>
    <x:row r="360">
      <x:c r="A360" s="24" t="str">
        <x:f>'500件商品'!A360</x:f>
        <x:v>PX0356</x:v>
      </x:c>
      <x:c r="B360" s="24" t="str">
        <x:f>'500件商品'!B360</x:f>
        <x:v>包裝膠帶-補充包</x:v>
      </x:c>
      <x:c r="C360" s="24" t="str">
        <x:f>'500件商品'!D360</x:f>
        <x:v>Cluster 5</x:v>
      </x:c>
      <x:c r="D360" s="26" t="n">
        <x:f>'500件商品'!F360</x:f>
        <x:v>53</x:v>
      </x:c>
      <x:c r="E360" s="24" t="str">
        <x:f>'500件商品'!K360</x:f>
        <x:v>否</x:v>
      </x:c>
      <x:c r="F360" s="24" t="str">
        <x:f>'500件商品'!L360</x:f>
      </x:c>
      <x:c r="G360" s="28" t="n">
        <x:f>'500件商品'!M360</x:f>
        <x:v>1</x:v>
      </x:c>
      <x:c r="H360" s="24" t="str">
        <x:f>'500件商品'!P360</x:f>
        <x:v>是</x:v>
      </x:c>
      <x:c r="I360" s="26" t="n">
        <x:f>'500件商品'!N360</x:f>
        <x:v>364</x:v>
      </x:c>
      <x:c r="J360" s="26" t="n">
        <x:f>'500件商品'!O360</x:f>
        <x:v>80</x:v>
      </x:c>
      <x:c r="K360" s="26" t="n">
        <x:f>IF(H360="是",CEILING(I360/J360,1),0)</x:f>
        <x:v>5</x:v>
      </x:c>
      <x:c r="L360" s="26" t="n">
        <x:f>ROUND(I360*G360,0)</x:f>
        <x:v>364</x:v>
      </x:c>
      <x:c r="M360" s="26" t="n">
        <x:f>IF(H360="是",CEILING(L360/J360,1),0)</x:f>
        <x:v>5</x:v>
      </x:c>
      <x:c r="N360" s="26" t="n">
        <x:f>M360-K360</x:f>
        <x:v>0</x:v>
      </x:c>
      <x:c r="O360" s="24" t="str">
        <x:f>'500件商品'!Q360</x:f>
        <x:v>遠端區</x:v>
      </x:c>
      <x:c r="P360" s="26" t="n">
        <x:f>'500件商品'!R360</x:f>
        <x:v>57</x:v>
      </x:c>
      <x:c r="Q360" s="24" t="str">
        <x:f>IF(H360="否","非棧板管理",IF(AND(E360="是",N360&gt;0),"季節彈性前移區",IF(OR(C360="Cluster 3",D360&gt;=55),"近端低層棧板區",IF(C360="Cluster 2","中段大貨位",IF(C360="Cluster 4","遠端彈性儲位","中段棧板區")))))</x:f>
        <x:v>中段棧板區</x:v>
      </x:c>
      <x:c r="R360" s="24" t="str">
        <x:f>IF(AND(H360="是",E360="是",N360&gt;0),"是","否")</x:f>
        <x:v>否</x:v>
      </x:c>
      <x:c r="S360" s="24" t="str">
        <x:f>IF(H360="否","非本次棧板儲位分析對象",IF(R360="是","旺季前需前移並增加棧板位",IF(N360&gt;0,"需增加棧板位",IF(N360&lt;0,"可釋放部分棧板位","維持現況"))))</x:f>
        <x:v>維持現況</x:v>
      </x:c>
    </x:row>
    <x:row r="361">
      <x:c r="A361" s="24" t="str">
        <x:f>'500件商品'!A361</x:f>
        <x:v>PX0357</x:v>
      </x:c>
      <x:c r="B361" s="24" t="str">
        <x:f>'500件商品'!B361</x:f>
        <x:v>寵物飼料5kg-箱裝</x:v>
      </x:c>
      <x:c r="C361" s="24" t="str">
        <x:f>'500件商品'!D361</x:f>
        <x:v>Cluster 2</x:v>
      </x:c>
      <x:c r="D361" s="26" t="n">
        <x:f>'500件商品'!F361</x:f>
        <x:v>5</x:v>
      </x:c>
      <x:c r="E361" s="24" t="str">
        <x:f>'500件商品'!K361</x:f>
        <x:v>否</x:v>
      </x:c>
      <x:c r="F361" s="24" t="str">
        <x:f>'500件商品'!L361</x:f>
      </x:c>
      <x:c r="G361" s="28" t="n">
        <x:f>'500件商品'!M361</x:f>
        <x:v>1</x:v>
      </x:c>
      <x:c r="H361" s="24" t="str">
        <x:f>'500件商品'!P361</x:f>
        <x:v>是</x:v>
      </x:c>
      <x:c r="I361" s="26" t="n">
        <x:f>'500件商品'!N361</x:f>
        <x:v>35</x:v>
      </x:c>
      <x:c r="J361" s="26" t="n">
        <x:f>'500件商品'!O361</x:f>
        <x:v>20</x:v>
      </x:c>
      <x:c r="K361" s="26" t="n">
        <x:f>IF(H361="是",CEILING(I361/J361,1),0)</x:f>
        <x:v>2</x:v>
      </x:c>
      <x:c r="L361" s="26" t="n">
        <x:f>ROUND(I361*G361,0)</x:f>
        <x:v>35</x:v>
      </x:c>
      <x:c r="M361" s="26" t="n">
        <x:f>IF(H361="是",CEILING(L361/J361,1),0)</x:f>
        <x:v>2</x:v>
      </x:c>
      <x:c r="N361" s="26" t="n">
        <x:f>M361-K361</x:f>
        <x:v>0</x:v>
      </x:c>
      <x:c r="O361" s="24" t="str">
        <x:f>'500件商品'!Q361</x:f>
        <x:v>遠端區</x:v>
      </x:c>
      <x:c r="P361" s="26" t="n">
        <x:f>'500件商品'!R361</x:f>
        <x:v>66</x:v>
      </x:c>
      <x:c r="Q361" s="24" t="str">
        <x:f>IF(H361="否","非棧板管理",IF(AND(E361="是",N361&gt;0),"季節彈性前移區",IF(OR(C361="Cluster 3",D361&gt;=55),"近端低層棧板區",IF(C361="Cluster 2","中段大貨位",IF(C361="Cluster 4","遠端彈性儲位","中段棧板區")))))</x:f>
        <x:v>中段大貨位</x:v>
      </x:c>
      <x:c r="R361" s="24" t="str">
        <x:f>IF(AND(H361="是",E361="是",N361&gt;0),"是","否")</x:f>
        <x:v>否</x:v>
      </x:c>
      <x:c r="S361" s="24" t="str">
        <x:f>IF(H361="否","非本次棧板儲位分析對象",IF(R361="是","旺季前需前移並增加棧板位",IF(N361&gt;0,"需增加棧板位",IF(N361&lt;0,"可釋放部分棧板位","維持現況"))))</x:f>
        <x:v>維持現況</x:v>
      </x:c>
    </x:row>
    <x:row r="362">
      <x:c r="A362" s="24" t="str">
        <x:f>'500件商品'!A362</x:f>
        <x:v>PX0358</x:v>
      </x:c>
      <x:c r="B362" s="24" t="str">
        <x:f>'500件商品'!B362</x:f>
        <x:v>柔軟精-箱裝</x:v>
      </x:c>
      <x:c r="C362" s="24" t="str">
        <x:f>'500件商品'!D362</x:f>
        <x:v>Cluster 1</x:v>
      </x:c>
      <x:c r="D362" s="26" t="n">
        <x:f>'500件商品'!F362</x:f>
        <x:v>30</x:v>
      </x:c>
      <x:c r="E362" s="24" t="str">
        <x:f>'500件商品'!K362</x:f>
        <x:v>否</x:v>
      </x:c>
      <x:c r="F362" s="24" t="str">
        <x:f>'500件商品'!L362</x:f>
      </x:c>
      <x:c r="G362" s="28" t="n">
        <x:f>'500件商品'!M362</x:f>
        <x:v>1</x:v>
      </x:c>
      <x:c r="H362" s="24" t="str">
        <x:f>'500件商品'!P362</x:f>
        <x:v>是</x:v>
      </x:c>
      <x:c r="I362" s="26" t="n">
        <x:f>'500件商品'!N362</x:f>
        <x:v>159</x:v>
      </x:c>
      <x:c r="J362" s="26" t="n">
        <x:f>'500件商品'!O362</x:f>
        <x:v>80</x:v>
      </x:c>
      <x:c r="K362" s="26" t="n">
        <x:f>IF(H362="是",CEILING(I362/J362,1),0)</x:f>
        <x:v>2</x:v>
      </x:c>
      <x:c r="L362" s="26" t="n">
        <x:f>ROUND(I362*G362,0)</x:f>
        <x:v>159</x:v>
      </x:c>
      <x:c r="M362" s="26" t="n">
        <x:f>IF(H362="是",CEILING(L362/J362,1),0)</x:f>
        <x:v>2</x:v>
      </x:c>
      <x:c r="N362" s="26" t="n">
        <x:f>M362-K362</x:f>
        <x:v>0</x:v>
      </x:c>
      <x:c r="O362" s="24" t="str">
        <x:f>'500件商品'!Q362</x:f>
        <x:v>A區</x:v>
      </x:c>
      <x:c r="P362" s="26" t="n">
        <x:f>'500件商品'!R362</x:f>
        <x:v>25</x:v>
      </x:c>
      <x:c r="Q362" s="24" t="str">
        <x:f>IF(H362="否","非棧板管理",IF(AND(E362="是",N362&gt;0),"季節彈性前移區",IF(OR(C362="Cluster 3",D362&gt;=55),"近端低層棧板區",IF(C362="Cluster 2","中段大貨位",IF(C362="Cluster 4","遠端彈性儲位","中段棧板區")))))</x:f>
        <x:v>中段棧板區</x:v>
      </x:c>
      <x:c r="R362" s="24" t="str">
        <x:f>IF(AND(H362="是",E362="是",N362&gt;0),"是","否")</x:f>
        <x:v>否</x:v>
      </x:c>
      <x:c r="S362" s="24" t="str">
        <x:f>IF(H362="否","非本次棧板儲位分析對象",IF(R362="是","旺季前需前移並增加棧板位",IF(N362&gt;0,"需增加棧板位",IF(N362&lt;0,"可釋放部分棧板位","維持現況"))))</x:f>
        <x:v>維持現況</x:v>
      </x:c>
    </x:row>
    <x:row r="363">
      <x:c r="A363" s="24" t="str">
        <x:f>'500件商品'!A363</x:f>
        <x:v>PX0359</x:v>
      </x:c>
      <x:c r="B363" s="24" t="str">
        <x:f>'500件商品'!B363</x:f>
        <x:v>罐頭食品-箱裝</x:v>
      </x:c>
      <x:c r="C363" s="24" t="str">
        <x:f>'500件商品'!D363</x:f>
        <x:v>Cluster 2</x:v>
      </x:c>
      <x:c r="D363" s="26" t="n">
        <x:f>'500件商品'!F363</x:f>
        <x:v>23</x:v>
      </x:c>
      <x:c r="E363" s="24" t="str">
        <x:f>'500件商品'!K363</x:f>
        <x:v>否</x:v>
      </x:c>
      <x:c r="F363" s="24" t="str">
        <x:f>'500件商品'!L363</x:f>
      </x:c>
      <x:c r="G363" s="28" t="n">
        <x:f>'500件商品'!M363</x:f>
        <x:v>1.1</x:v>
      </x:c>
      <x:c r="H363" s="24" t="str">
        <x:f>'500件商品'!P363</x:f>
        <x:v>是</x:v>
      </x:c>
      <x:c r="I363" s="26" t="n">
        <x:f>'500件商品'!N363</x:f>
        <x:v>220</x:v>
      </x:c>
      <x:c r="J363" s="26" t="n">
        <x:f>'500件商品'!O363</x:f>
        <x:v>24</x:v>
      </x:c>
      <x:c r="K363" s="26" t="n">
        <x:f>IF(H363="是",CEILING(I363/J363,1),0)</x:f>
        <x:v>10</x:v>
      </x:c>
      <x:c r="L363" s="26" t="n">
        <x:f>ROUND(I363*G363,0)</x:f>
        <x:v>242</x:v>
      </x:c>
      <x:c r="M363" s="26" t="n">
        <x:f>IF(H363="是",CEILING(L363/J363,1),0)</x:f>
        <x:v>11</x:v>
      </x:c>
      <x:c r="N363" s="26" t="n">
        <x:f>M363-K363</x:f>
        <x:v>1</x:v>
      </x:c>
      <x:c r="O363" s="24" t="str">
        <x:f>'500件商品'!Q363</x:f>
        <x:v>K區</x:v>
      </x:c>
      <x:c r="P363" s="26" t="n">
        <x:f>'500件商品'!R363</x:f>
        <x:v>49</x:v>
      </x:c>
      <x:c r="Q363" s="24" t="str">
        <x:f>IF(H363="否","非棧板管理",IF(AND(E363="是",N363&gt;0),"季節彈性前移區",IF(OR(C363="Cluster 3",D363&gt;=55),"近端低層棧板區",IF(C363="Cluster 2","中段大貨位",IF(C363="Cluster 4","遠端彈性儲位","中段棧板區")))))</x:f>
        <x:v>中段大貨位</x:v>
      </x:c>
      <x:c r="R363" s="24" t="str">
        <x:f>IF(AND(H363="是",E363="是",N363&gt;0),"是","否")</x:f>
        <x:v>否</x:v>
      </x:c>
      <x:c r="S363" s="24" t="str">
        <x:f>IF(H363="否","非本次棧板儲位分析對象",IF(R363="是","旺季前需前移並增加棧板位",IF(N363&gt;0,"需增加棧板位",IF(N363&lt;0,"可釋放部分棧板位","維持現況"))))</x:f>
        <x:v>需增加棧板位</x:v>
      </x:c>
    </x:row>
    <x:row r="364">
      <x:c r="A364" s="24" t="str">
        <x:f>'500件商品'!A364</x:f>
        <x:v>PX0360</x:v>
      </x:c>
      <x:c r="B364" s="24" t="str">
        <x:f>'500件商品'!B364</x:f>
        <x:v>地板清潔劑-補充包</x:v>
      </x:c>
      <x:c r="C364" s="24" t="str">
        <x:f>'500件商品'!D364</x:f>
        <x:v>Cluster 1</x:v>
      </x:c>
      <x:c r="D364" s="26" t="n">
        <x:f>'500件商品'!F364</x:f>
        <x:v>7</x:v>
      </x:c>
      <x:c r="E364" s="24" t="str">
        <x:f>'500件商品'!K364</x:f>
        <x:v>否</x:v>
      </x:c>
      <x:c r="F364" s="24" t="str">
        <x:f>'500件商品'!L364</x:f>
      </x:c>
      <x:c r="G364" s="28" t="n">
        <x:f>'500件商品'!M364</x:f>
        <x:v>1.1</x:v>
      </x:c>
      <x:c r="H364" s="24" t="str">
        <x:f>'500件商品'!P364</x:f>
        <x:v>是</x:v>
      </x:c>
      <x:c r="I364" s="26" t="n">
        <x:f>'500件商品'!N364</x:f>
        <x:v>38</x:v>
      </x:c>
      <x:c r="J364" s="26" t="n">
        <x:f>'500件商品'!O364</x:f>
        <x:v>72</x:v>
      </x:c>
      <x:c r="K364" s="26" t="n">
        <x:f>IF(H364="是",CEILING(I364/J364,1),0)</x:f>
        <x:v>1</x:v>
      </x:c>
      <x:c r="L364" s="26" t="n">
        <x:f>ROUND(I364*G364,0)</x:f>
        <x:v>42</x:v>
      </x:c>
      <x:c r="M364" s="26" t="n">
        <x:f>IF(H364="是",CEILING(L364/J364,1),0)</x:f>
        <x:v>1</x:v>
      </x:c>
      <x:c r="N364" s="26" t="n">
        <x:f>M364-K364</x:f>
        <x:v>0</x:v>
      </x:c>
      <x:c r="O364" s="24" t="str">
        <x:f>'500件商品'!Q364</x:f>
        <x:v>3區</x:v>
      </x:c>
      <x:c r="P364" s="26" t="n">
        <x:f>'500件商品'!R364</x:f>
        <x:v>46</x:v>
      </x:c>
      <x:c r="Q364" s="24" t="str">
        <x:f>IF(H364="否","非棧板管理",IF(AND(E364="是",N364&gt;0),"季節彈性前移區",IF(OR(C364="Cluster 3",D364&gt;=55),"近端低層棧板區",IF(C364="Cluster 2","中段大貨位",IF(C364="Cluster 4","遠端彈性儲位","中段棧板區")))))</x:f>
        <x:v>中段棧板區</x:v>
      </x:c>
      <x:c r="R364" s="24" t="str">
        <x:f>IF(AND(H364="是",E364="是",N364&gt;0),"是","否")</x:f>
        <x:v>否</x:v>
      </x:c>
      <x:c r="S364" s="24" t="str">
        <x:f>IF(H364="否","非本次棧板儲位分析對象",IF(R364="是","旺季前需前移並增加棧板位",IF(N364&gt;0,"需增加棧板位",IF(N364&lt;0,"可釋放部分棧板位","維持現況"))))</x:f>
        <x:v>維持現況</x:v>
      </x:c>
    </x:row>
    <x:row r="365">
      <x:c r="A365" s="24" t="str">
        <x:f>'500件商品'!A365</x:f>
        <x:v>PX0361</x:v>
      </x:c>
      <x:c r="B365" s="24" t="str">
        <x:f>'500件商品'!B365</x:f>
        <x:v>貓砂10L-促銷組</x:v>
      </x:c>
      <x:c r="C365" s="24" t="str">
        <x:f>'500件商品'!D365</x:f>
        <x:v>Cluster 2</x:v>
      </x:c>
      <x:c r="D365" s="26" t="n">
        <x:f>'500件商品'!F365</x:f>
        <x:v>8</x:v>
      </x:c>
      <x:c r="E365" s="24" t="str">
        <x:f>'500件商品'!K365</x:f>
        <x:v>否</x:v>
      </x:c>
      <x:c r="F365" s="24" t="str">
        <x:f>'500件商品'!L365</x:f>
      </x:c>
      <x:c r="G365" s="28" t="n">
        <x:f>'500件商品'!M365</x:f>
        <x:v>1.1</x:v>
      </x:c>
      <x:c r="H365" s="24" t="str">
        <x:f>'500件商品'!P365</x:f>
        <x:v>是</x:v>
      </x:c>
      <x:c r="I365" s="26" t="n">
        <x:f>'500件商品'!N365</x:f>
        <x:v>32</x:v>
      </x:c>
      <x:c r="J365" s="26" t="n">
        <x:f>'500件商品'!O365</x:f>
        <x:v>24</x:v>
      </x:c>
      <x:c r="K365" s="26" t="n">
        <x:f>IF(H365="是",CEILING(I365/J365,1),0)</x:f>
        <x:v>2</x:v>
      </x:c>
      <x:c r="L365" s="26" t="n">
        <x:f>ROUND(I365*G365,0)</x:f>
        <x:v>35</x:v>
      </x:c>
      <x:c r="M365" s="26" t="n">
        <x:f>IF(H365="是",CEILING(L365/J365,1),0)</x:f>
        <x:v>2</x:v>
      </x:c>
      <x:c r="N365" s="26" t="n">
        <x:f>M365-K365</x:f>
        <x:v>0</x:v>
      </x:c>
      <x:c r="O365" s="24" t="str">
        <x:f>'500件商品'!Q365</x:f>
        <x:v>K區</x:v>
      </x:c>
      <x:c r="P365" s="26" t="n">
        <x:f>'500件商品'!R365</x:f>
        <x:v>49</x:v>
      </x:c>
      <x:c r="Q365" s="24" t="str">
        <x:f>IF(H365="否","非棧板管理",IF(AND(E365="是",N365&gt;0),"季節彈性前移區",IF(OR(C365="Cluster 3",D365&gt;=55),"近端低層棧板區",IF(C365="Cluster 2","中段大貨位",IF(C365="Cluster 4","遠端彈性儲位","中段棧板區")))))</x:f>
        <x:v>中段大貨位</x:v>
      </x:c>
      <x:c r="R365" s="24" t="str">
        <x:f>IF(AND(H365="是",E365="是",N365&gt;0),"是","否")</x:f>
        <x:v>否</x:v>
      </x:c>
      <x:c r="S365" s="24" t="str">
        <x:f>IF(H365="否","非本次棧板儲位分析對象",IF(R365="是","旺季前需前移並增加棧板位",IF(N365&gt;0,"需增加棧板位",IF(N365&lt;0,"可釋放部分棧板位","維持現況"))))</x:f>
        <x:v>維持現況</x:v>
      </x:c>
    </x:row>
    <x:row r="366">
      <x:c r="A366" s="24" t="str">
        <x:f>'500件商品'!A366</x:f>
        <x:v>PX0362</x:v>
      </x:c>
      <x:c r="B366" s="24" t="str">
        <x:f>'500件商品'!B366</x:f>
        <x:v>標籤紙卷-標準箱</x:v>
      </x:c>
      <x:c r="C366" s="24" t="str">
        <x:f>'500件商品'!D366</x:f>
        <x:v>Cluster 5</x:v>
      </x:c>
      <x:c r="D366" s="26" t="n">
        <x:f>'500件商品'!F366</x:f>
        <x:v>15</x:v>
      </x:c>
      <x:c r="E366" s="24" t="str">
        <x:f>'500件商品'!K366</x:f>
        <x:v>否</x:v>
      </x:c>
      <x:c r="F366" s="24" t="str">
        <x:f>'500件商品'!L366</x:f>
      </x:c>
      <x:c r="G366" s="28" t="n">
        <x:f>'500件商品'!M366</x:f>
        <x:v>1.1</x:v>
      </x:c>
      <x:c r="H366" s="24" t="str">
        <x:f>'500件商品'!P366</x:f>
        <x:v>否</x:v>
      </x:c>
      <x:c r="I366" s="26" t="n">
        <x:f>'500件商品'!N366</x:f>
        <x:v>83</x:v>
      </x:c>
      <x:c r="J366" s="26" t="str">
        <x:f>'500件商品'!O366</x:f>
      </x:c>
      <x:c r="K366" s="26" t="n">
        <x:f>IF(H366="是",CEILING(I366/J366,1),0)</x:f>
        <x:v>0</x:v>
      </x:c>
      <x:c r="L366" s="26" t="n">
        <x:f>ROUND(I366*G366,0)</x:f>
        <x:v>91</x:v>
      </x:c>
      <x:c r="M366" s="26" t="n">
        <x:f>IF(H366="是",CEILING(L366/J366,1),0)</x:f>
        <x:v>0</x:v>
      </x:c>
      <x:c r="N366" s="26" t="n">
        <x:f>M366-K366</x:f>
        <x:v>0</x:v>
      </x:c>
      <x:c r="O366" s="24" t="str">
        <x:f>'500件商品'!Q366</x:f>
        <x:v>1區</x:v>
      </x:c>
      <x:c r="P366" s="26" t="n">
        <x:f>'500件商品'!R366</x:f>
        <x:v>39</x:v>
      </x:c>
      <x:c r="Q366" s="24" t="str">
        <x:f>IF(H366="否","非棧板管理",IF(AND(E366="是",N366&gt;0),"季節彈性前移區",IF(OR(C366="Cluster 3",D366&gt;=55),"近端低層棧板區",IF(C366="Cluster 2","中段大貨位",IF(C366="Cluster 4","遠端彈性儲位","中段棧板區")))))</x:f>
        <x:v>非棧板管理</x:v>
      </x:c>
      <x:c r="R366" s="24" t="str">
        <x:f>IF(AND(H366="是",E366="是",N366&gt;0),"是","否")</x:f>
        <x:v>否</x:v>
      </x:c>
      <x:c r="S366" s="24" t="str">
        <x:f>IF(H366="否","非本次棧板儲位分析對象",IF(R366="是","旺季前需前移並增加棧板位",IF(N366&gt;0,"需增加棧板位",IF(N366&lt;0,"可釋放部分棧板位","維持現況"))))</x:f>
        <x:v>非本次棧板儲位分析對象</x:v>
      </x:c>
    </x:row>
    <x:row r="367">
      <x:c r="A367" s="24" t="str">
        <x:f>'500件商品'!A367</x:f>
        <x:v>PX0363</x:v>
      </x:c>
      <x:c r="B367" s="24" t="str">
        <x:f>'500件商品'!B367</x:f>
        <x:v>防蚊用品-促銷組</x:v>
      </x:c>
      <x:c r="C367" s="24" t="str">
        <x:f>'500件商品'!D367</x:f>
        <x:v>Cluster 4</x:v>
      </x:c>
      <x:c r="D367" s="26" t="n">
        <x:f>'500件商品'!F367</x:f>
        <x:v>4</x:v>
      </x:c>
      <x:c r="E367" s="24" t="str">
        <x:f>'500件商品'!K367</x:f>
        <x:v>是</x:v>
      </x:c>
      <x:c r="F367" s="24" t="str">
        <x:f>'500件商品'!L367</x:f>
        <x:v>5-8月</x:v>
      </x:c>
      <x:c r="G367" s="28" t="n">
        <x:f>'500件商品'!M367</x:f>
        <x:v>3</x:v>
      </x:c>
      <x:c r="H367" s="24" t="str">
        <x:f>'500件商品'!P367</x:f>
        <x:v>否</x:v>
      </x:c>
      <x:c r="I367" s="26" t="n">
        <x:f>'500件商品'!N367</x:f>
        <x:v>116</x:v>
      </x:c>
      <x:c r="J367" s="26" t="str">
        <x:f>'500件商品'!O367</x:f>
      </x:c>
      <x:c r="K367" s="26" t="n">
        <x:f>IF(H367="是",CEILING(I367/J367,1),0)</x:f>
        <x:v>0</x:v>
      </x:c>
      <x:c r="L367" s="26" t="n">
        <x:f>ROUND(I367*G367,0)</x:f>
        <x:v>348</x:v>
      </x:c>
      <x:c r="M367" s="26" t="n">
        <x:f>IF(H367="是",CEILING(L367/J367,1),0)</x:f>
        <x:v>0</x:v>
      </x:c>
      <x:c r="N367" s="26" t="n">
        <x:f>M367-K367</x:f>
        <x:v>0</x:v>
      </x:c>
      <x:c r="O367" s="24" t="str">
        <x:f>'500件商品'!Q367</x:f>
        <x:v>1區</x:v>
      </x:c>
      <x:c r="P367" s="26" t="n">
        <x:f>'500件商品'!R367</x:f>
        <x:v>24</x:v>
      </x:c>
      <x:c r="Q367" s="24" t="str">
        <x:f>IF(H367="否","非棧板管理",IF(AND(E367="是",N367&gt;0),"季節彈性前移區",IF(OR(C367="Cluster 3",D367&gt;=55),"近端低層棧板區",IF(C367="Cluster 2","中段大貨位",IF(C367="Cluster 4","遠端彈性儲位","中段棧板區")))))</x:f>
        <x:v>非棧板管理</x:v>
      </x:c>
      <x:c r="R367" s="24" t="str">
        <x:f>IF(AND(H367="是",E367="是",N367&gt;0),"是","否")</x:f>
        <x:v>否</x:v>
      </x:c>
      <x:c r="S367" s="24" t="str">
        <x:f>IF(H367="否","非本次棧板儲位分析對象",IF(R367="是","旺季前需前移並增加棧板位",IF(N367&gt;0,"需增加棧板位",IF(N367&lt;0,"可釋放部分棧板位","維持現況"))))</x:f>
        <x:v>非本次棧板儲位分析對象</x:v>
      </x:c>
    </x:row>
    <x:row r="368">
      <x:c r="A368" s="24" t="str">
        <x:f>'500件商品'!A368</x:f>
        <x:v>PX0364</x:v>
      </x:c>
      <x:c r="B368" s="24" t="str">
        <x:f>'500件商品'!B368</x:f>
        <x:v>寵物飼料5kg-箱裝</x:v>
      </x:c>
      <x:c r="C368" s="24" t="str">
        <x:f>'500件商品'!D368</x:f>
        <x:v>Cluster 2</x:v>
      </x:c>
      <x:c r="D368" s="26" t="n">
        <x:f>'500件商品'!F368</x:f>
        <x:v>52</x:v>
      </x:c>
      <x:c r="E368" s="24" t="str">
        <x:f>'500件商品'!K368</x:f>
        <x:v>否</x:v>
      </x:c>
      <x:c r="F368" s="24" t="str">
        <x:f>'500件商品'!L368</x:f>
      </x:c>
      <x:c r="G368" s="28" t="n">
        <x:f>'500件商品'!M368</x:f>
        <x:v>1</x:v>
      </x:c>
      <x:c r="H368" s="24" t="str">
        <x:f>'500件商品'!P368</x:f>
        <x:v>是</x:v>
      </x:c>
      <x:c r="I368" s="26" t="n">
        <x:f>'500件商品'!N368</x:f>
        <x:v>303</x:v>
      </x:c>
      <x:c r="J368" s="26" t="n">
        <x:f>'500件商品'!O368</x:f>
        <x:v>24</x:v>
      </x:c>
      <x:c r="K368" s="26" t="n">
        <x:f>IF(H368="是",CEILING(I368/J368,1),0)</x:f>
        <x:v>13</x:v>
      </x:c>
      <x:c r="L368" s="26" t="n">
        <x:f>ROUND(I368*G368,0)</x:f>
        <x:v>303</x:v>
      </x:c>
      <x:c r="M368" s="26" t="n">
        <x:f>IF(H368="是",CEILING(L368/J368,1),0)</x:f>
        <x:v>13</x:v>
      </x:c>
      <x:c r="N368" s="26" t="n">
        <x:f>M368-K368</x:f>
        <x:v>0</x:v>
      </x:c>
      <x:c r="O368" s="24" t="str">
        <x:f>'500件商品'!Q368</x:f>
        <x:v>遠端區</x:v>
      </x:c>
      <x:c r="P368" s="26" t="n">
        <x:f>'500件商品'!R368</x:f>
        <x:v>64</x:v>
      </x:c>
      <x:c r="Q368" s="24" t="str">
        <x:f>IF(H368="否","非棧板管理",IF(AND(E368="是",N368&gt;0),"季節彈性前移區",IF(OR(C368="Cluster 3",D368&gt;=55),"近端低層棧板區",IF(C368="Cluster 2","中段大貨位",IF(C368="Cluster 4","遠端彈性儲位","中段棧板區")))))</x:f>
        <x:v>中段大貨位</x:v>
      </x:c>
      <x:c r="R368" s="24" t="str">
        <x:f>IF(AND(H368="是",E368="是",N368&gt;0),"是","否")</x:f>
        <x:v>否</x:v>
      </x:c>
      <x:c r="S368" s="24" t="str">
        <x:f>IF(H368="否","非本次棧板儲位分析對象",IF(R368="是","旺季前需前移並增加棧板位",IF(N368&gt;0,"需增加棧板位",IF(N368&lt;0,"可釋放部分棧板位","維持現況"))))</x:f>
        <x:v>維持現況</x:v>
      </x:c>
    </x:row>
    <x:row r="369">
      <x:c r="A369" s="24" t="str">
        <x:f>'500件商品'!A369</x:f>
        <x:v>PX0365</x:v>
      </x:c>
      <x:c r="B369" s="24" t="str">
        <x:f>'500件商品'!B369</x:f>
        <x:v>洗衣粉箱-箱裝</x:v>
      </x:c>
      <x:c r="C369" s="24" t="str">
        <x:f>'500件商品'!D369</x:f>
        <x:v>Cluster 1</x:v>
      </x:c>
      <x:c r="D369" s="26" t="n">
        <x:f>'500件商品'!F369</x:f>
        <x:v>35</x:v>
      </x:c>
      <x:c r="E369" s="24" t="str">
        <x:f>'500件商品'!K369</x:f>
        <x:v>否</x:v>
      </x:c>
      <x:c r="F369" s="24" t="str">
        <x:f>'500件商品'!L369</x:f>
      </x:c>
      <x:c r="G369" s="28" t="n">
        <x:f>'500件商品'!M369</x:f>
        <x:v>1.1</x:v>
      </x:c>
      <x:c r="H369" s="24" t="str">
        <x:f>'500件商品'!P369</x:f>
        <x:v>是</x:v>
      </x:c>
      <x:c r="I369" s="26" t="n">
        <x:f>'500件商品'!N369</x:f>
        <x:v>145</x:v>
      </x:c>
      <x:c r="J369" s="26" t="n">
        <x:f>'500件商品'!O369</x:f>
        <x:v>80</x:v>
      </x:c>
      <x:c r="K369" s="26" t="n">
        <x:f>IF(H369="是",CEILING(I369/J369,1),0)</x:f>
        <x:v>2</x:v>
      </x:c>
      <x:c r="L369" s="26" t="n">
        <x:f>ROUND(I369*G369,0)</x:f>
        <x:v>160</x:v>
      </x:c>
      <x:c r="M369" s="26" t="n">
        <x:f>IF(H369="是",CEILING(L369/J369,1),0)</x:f>
        <x:v>2</x:v>
      </x:c>
      <x:c r="N369" s="26" t="n">
        <x:f>M369-K369</x:f>
        <x:v>0</x:v>
      </x:c>
      <x:c r="O369" s="24" t="str">
        <x:f>'500件商品'!Q369</x:f>
        <x:v>遠端區</x:v>
      </x:c>
      <x:c r="P369" s="26" t="n">
        <x:f>'500件商品'!R369</x:f>
        <x:v>60</x:v>
      </x:c>
      <x:c r="Q369" s="24" t="str">
        <x:f>IF(H369="否","非棧板管理",IF(AND(E369="是",N369&gt;0),"季節彈性前移區",IF(OR(C369="Cluster 3",D369&gt;=55),"近端低層棧板區",IF(C369="Cluster 2","中段大貨位",IF(C369="Cluster 4","遠端彈性儲位","中段棧板區")))))</x:f>
        <x:v>中段棧板區</x:v>
      </x:c>
      <x:c r="R369" s="24" t="str">
        <x:f>IF(AND(H369="是",E369="是",N369&gt;0),"是","否")</x:f>
        <x:v>否</x:v>
      </x:c>
      <x:c r="S369" s="24" t="str">
        <x:f>IF(H369="否","非本次棧板儲位分析對象",IF(R369="是","旺季前需前移並增加棧板位",IF(N369&gt;0,"需增加棧板位",IF(N369&lt;0,"可釋放部分棧板位","維持現況"))))</x:f>
        <x:v>維持現況</x:v>
      </x:c>
    </x:row>
    <x:row r="370">
      <x:c r="A370" s="24" t="str">
        <x:f>'500件商品'!A370</x:f>
        <x:v>PX0366</x:v>
      </x:c>
      <x:c r="B370" s="24" t="str">
        <x:f>'500件商品'!B370</x:f>
        <x:v>標籤紙卷-箱裝</x:v>
      </x:c>
      <x:c r="C370" s="24" t="str">
        <x:f>'500件商品'!D370</x:f>
        <x:v>Cluster 4</x:v>
      </x:c>
      <x:c r="D370" s="26" t="n">
        <x:f>'500件商品'!F370</x:f>
        <x:v>25</x:v>
      </x:c>
      <x:c r="E370" s="24" t="str">
        <x:f>'500件商品'!K370</x:f>
        <x:v>是</x:v>
      </x:c>
      <x:c r="F370" s="24" t="str">
        <x:f>'500件商品'!L370</x:f>
        <x:v>旺季</x:v>
      </x:c>
      <x:c r="G370" s="28" t="n">
        <x:f>'500件商品'!M370</x:f>
        <x:v>1.8</x:v>
      </x:c>
      <x:c r="H370" s="24" t="str">
        <x:f>'500件商品'!P370</x:f>
        <x:v>否</x:v>
      </x:c>
      <x:c r="I370" s="26" t="n">
        <x:f>'500件商品'!N370</x:f>
        <x:v>84</x:v>
      </x:c>
      <x:c r="J370" s="26" t="str">
        <x:f>'500件商品'!O370</x:f>
      </x:c>
      <x:c r="K370" s="26" t="n">
        <x:f>IF(H370="是",CEILING(I370/J370,1),0)</x:f>
        <x:v>0</x:v>
      </x:c>
      <x:c r="L370" s="26" t="n">
        <x:f>ROUND(I370*G370,0)</x:f>
        <x:v>151</x:v>
      </x:c>
      <x:c r="M370" s="26" t="n">
        <x:f>IF(H370="是",CEILING(L370/J370,1),0)</x:f>
        <x:v>0</x:v>
      </x:c>
      <x:c r="N370" s="26" t="n">
        <x:f>M370-K370</x:f>
        <x:v>0</x:v>
      </x:c>
      <x:c r="O370" s="24" t="str">
        <x:f>'500件商品'!Q370</x:f>
        <x:v>K區</x:v>
      </x:c>
      <x:c r="P370" s="26" t="n">
        <x:f>'500件商品'!R370</x:f>
        <x:v>43</x:v>
      </x:c>
      <x:c r="Q370" s="24" t="str">
        <x:f>IF(H370="否","非棧板管理",IF(AND(E370="是",N370&gt;0),"季節彈性前移區",IF(OR(C370="Cluster 3",D370&gt;=55),"近端低層棧板區",IF(C370="Cluster 2","中段大貨位",IF(C370="Cluster 4","遠端彈性儲位","中段棧板區")))))</x:f>
        <x:v>非棧板管理</x:v>
      </x:c>
      <x:c r="R370" s="24" t="str">
        <x:f>IF(AND(H370="是",E370="是",N370&gt;0),"是","否")</x:f>
        <x:v>否</x:v>
      </x:c>
      <x:c r="S370" s="24" t="str">
        <x:f>IF(H370="否","非本次棧板儲位分析對象",IF(R370="是","旺季前需前移並增加棧板位",IF(N370&gt;0,"需增加棧板位",IF(N370&lt;0,"可釋放部分棧板位","維持現況"))))</x:f>
        <x:v>非本次棧板儲位分析對象</x:v>
      </x:c>
    </x:row>
    <x:row r="371">
      <x:c r="A371" s="24" t="str">
        <x:f>'500件商品'!A371</x:f>
        <x:v>PX0367</x:v>
      </x:c>
      <x:c r="B371" s="24" t="str">
        <x:f>'500件商品'!B371</x:f>
        <x:v>面紙箱-箱裝</x:v>
      </x:c>
      <x:c r="C371" s="24" t="str">
        <x:f>'500件商品'!D371</x:f>
        <x:v>Cluster 5</x:v>
      </x:c>
      <x:c r="D371" s="26" t="n">
        <x:f>'500件商品'!F371</x:f>
        <x:v>51</x:v>
      </x:c>
      <x:c r="E371" s="24" t="str">
        <x:f>'500件商品'!K371</x:f>
        <x:v>否</x:v>
      </x:c>
      <x:c r="F371" s="24" t="str">
        <x:f>'500件商品'!L371</x:f>
      </x:c>
      <x:c r="G371" s="28" t="n">
        <x:f>'500件商品'!M371</x:f>
        <x:v>1</x:v>
      </x:c>
      <x:c r="H371" s="24" t="str">
        <x:f>'500件商品'!P371</x:f>
        <x:v>是</x:v>
      </x:c>
      <x:c r="I371" s="26" t="n">
        <x:f>'500件商品'!N371</x:f>
        <x:v>298</x:v>
      </x:c>
      <x:c r="J371" s="26" t="n">
        <x:f>'500件商品'!O371</x:f>
        <x:v>60</x:v>
      </x:c>
      <x:c r="K371" s="26" t="n">
        <x:f>IF(H371="是",CEILING(I371/J371,1),0)</x:f>
        <x:v>5</x:v>
      </x:c>
      <x:c r="L371" s="26" t="n">
        <x:f>ROUND(I371*G371,0)</x:f>
        <x:v>298</x:v>
      </x:c>
      <x:c r="M371" s="26" t="n">
        <x:f>IF(H371="是",CEILING(L371/J371,1),0)</x:f>
        <x:v>5</x:v>
      </x:c>
      <x:c r="N371" s="26" t="n">
        <x:f>M371-K371</x:f>
        <x:v>0</x:v>
      </x:c>
      <x:c r="O371" s="24" t="str">
        <x:f>'500件商品'!Q371</x:f>
        <x:v>彈性區</x:v>
      </x:c>
      <x:c r="P371" s="26" t="n">
        <x:f>'500件商品'!R371</x:f>
        <x:v>46</x:v>
      </x:c>
      <x:c r="Q371" s="24" t="str">
        <x:f>IF(H371="否","非棧板管理",IF(AND(E371="是",N371&gt;0),"季節彈性前移區",IF(OR(C371="Cluster 3",D371&gt;=55),"近端低層棧板區",IF(C371="Cluster 2","中段大貨位",IF(C371="Cluster 4","遠端彈性儲位","中段棧板區")))))</x:f>
        <x:v>中段棧板區</x:v>
      </x:c>
      <x:c r="R371" s="24" t="str">
        <x:f>IF(AND(H371="是",E371="是",N371&gt;0),"是","否")</x:f>
        <x:v>否</x:v>
      </x:c>
      <x:c r="S371" s="24" t="str">
        <x:f>IF(H371="否","非本次棧板儲位分析對象",IF(R371="是","旺季前需前移並增加棧板位",IF(N371&gt;0,"需增加棧板位",IF(N371&lt;0,"可釋放部分棧板位","維持現況"))))</x:f>
        <x:v>維持現況</x:v>
      </x:c>
    </x:row>
    <x:row r="372">
      <x:c r="A372" s="24" t="str">
        <x:f>'500件商品'!A372</x:f>
        <x:v>PX0368</x:v>
      </x:c>
      <x:c r="B372" s="24" t="str">
        <x:f>'500件商品'!B372</x:f>
        <x:v>寵物罐頭箱-家庭號</x:v>
      </x:c>
      <x:c r="C372" s="24" t="str">
        <x:f>'500件商品'!D372</x:f>
        <x:v>Cluster 5</x:v>
      </x:c>
      <x:c r="D372" s="26" t="n">
        <x:f>'500件商品'!F372</x:f>
        <x:v>37</x:v>
      </x:c>
      <x:c r="E372" s="24" t="str">
        <x:f>'500件商品'!K372</x:f>
        <x:v>否</x:v>
      </x:c>
      <x:c r="F372" s="24" t="str">
        <x:f>'500件商品'!L372</x:f>
      </x:c>
      <x:c r="G372" s="28" t="n">
        <x:f>'500件商品'!M372</x:f>
        <x:v>1</x:v>
      </x:c>
      <x:c r="H372" s="24" t="str">
        <x:f>'500件商品'!P372</x:f>
        <x:v>是</x:v>
      </x:c>
      <x:c r="I372" s="26" t="n">
        <x:f>'500件商品'!N372</x:f>
        <x:v>279</x:v>
      </x:c>
      <x:c r="J372" s="26" t="n">
        <x:f>'500件商品'!O372</x:f>
        <x:v>48</x:v>
      </x:c>
      <x:c r="K372" s="26" t="n">
        <x:f>IF(H372="是",CEILING(I372/J372,1),0)</x:f>
        <x:v>6</x:v>
      </x:c>
      <x:c r="L372" s="26" t="n">
        <x:f>ROUND(I372*G372,0)</x:f>
        <x:v>279</x:v>
      </x:c>
      <x:c r="M372" s="26" t="n">
        <x:f>IF(H372="是",CEILING(L372/J372,1),0)</x:f>
        <x:v>6</x:v>
      </x:c>
      <x:c r="N372" s="26" t="n">
        <x:f>M372-K372</x:f>
        <x:v>0</x:v>
      </x:c>
      <x:c r="O372" s="24" t="str">
        <x:f>'500件商品'!Q372</x:f>
        <x:v>1區</x:v>
      </x:c>
      <x:c r="P372" s="26" t="n">
        <x:f>'500件商品'!R372</x:f>
        <x:v>35</x:v>
      </x:c>
      <x:c r="Q372" s="24" t="str">
        <x:f>IF(H372="否","非棧板管理",IF(AND(E372="是",N372&gt;0),"季節彈性前移區",IF(OR(C372="Cluster 3",D372&gt;=55),"近端低層棧板區",IF(C372="Cluster 2","中段大貨位",IF(C372="Cluster 4","遠端彈性儲位","中段棧板區")))))</x:f>
        <x:v>中段棧板區</x:v>
      </x:c>
      <x:c r="R372" s="24" t="str">
        <x:f>IF(AND(H372="是",E372="是",N372&gt;0),"是","否")</x:f>
        <x:v>否</x:v>
      </x:c>
      <x:c r="S372" s="24" t="str">
        <x:f>IF(H372="否","非本次棧板儲位分析對象",IF(R372="是","旺季前需前移並增加棧板位",IF(N372&gt;0,"需增加棧板位",IF(N372&lt;0,"可釋放部分棧板位","維持現況"))))</x:f>
        <x:v>維持現況</x:v>
      </x:c>
    </x:row>
    <x:row r="373">
      <x:c r="A373" s="24" t="str">
        <x:f>'500件商品'!A373</x:f>
        <x:v>PX0369</x:v>
      </x:c>
      <x:c r="B373" s="24" t="str">
        <x:f>'500件商品'!B373</x:f>
        <x:v>寵物罐頭箱-補充包</x:v>
      </x:c>
      <x:c r="C373" s="24" t="str">
        <x:f>'500件商品'!D373</x:f>
        <x:v>Cluster 5</x:v>
      </x:c>
      <x:c r="D373" s="26" t="n">
        <x:f>'500件商品'!F373</x:f>
        <x:v>12</x:v>
      </x:c>
      <x:c r="E373" s="24" t="str">
        <x:f>'500件商品'!K373</x:f>
        <x:v>否</x:v>
      </x:c>
      <x:c r="F373" s="24" t="str">
        <x:f>'500件商品'!L373</x:f>
      </x:c>
      <x:c r="G373" s="28" t="n">
        <x:f>'500件商品'!M373</x:f>
        <x:v>1</x:v>
      </x:c>
      <x:c r="H373" s="24" t="str">
        <x:f>'500件商品'!P373</x:f>
        <x:v>否</x:v>
      </x:c>
      <x:c r="I373" s="26" t="n">
        <x:f>'500件商品'!N373</x:f>
        <x:v>68</x:v>
      </x:c>
      <x:c r="J373" s="26" t="str">
        <x:f>'500件商品'!O373</x:f>
      </x:c>
      <x:c r="K373" s="26" t="n">
        <x:f>IF(H373="是",CEILING(I373/J373,1),0)</x:f>
        <x:v>0</x:v>
      </x:c>
      <x:c r="L373" s="26" t="n">
        <x:f>ROUND(I373*G373,0)</x:f>
        <x:v>68</x:v>
      </x:c>
      <x:c r="M373" s="26" t="n">
        <x:f>IF(H373="是",CEILING(L373/J373,1),0)</x:f>
        <x:v>0</x:v>
      </x:c>
      <x:c r="N373" s="26" t="n">
        <x:f>M373-K373</x:f>
        <x:v>0</x:v>
      </x:c>
      <x:c r="O373" s="24" t="str">
        <x:f>'500件商品'!Q373</x:f>
        <x:v>K區</x:v>
      </x:c>
      <x:c r="P373" s="26" t="n">
        <x:f>'500件商品'!R373</x:f>
        <x:v>51</x:v>
      </x:c>
      <x:c r="Q373" s="24" t="str">
        <x:f>IF(H373="否","非棧板管理",IF(AND(E373="是",N373&gt;0),"季節彈性前移區",IF(OR(C373="Cluster 3",D373&gt;=55),"近端低層棧板區",IF(C373="Cluster 2","中段大貨位",IF(C373="Cluster 4","遠端彈性儲位","中段棧板區")))))</x:f>
        <x:v>非棧板管理</x:v>
      </x:c>
      <x:c r="R373" s="24" t="str">
        <x:f>IF(AND(H373="是",E373="是",N373&gt;0),"是","否")</x:f>
        <x:v>否</x:v>
      </x:c>
      <x:c r="S373" s="24" t="str">
        <x:f>IF(H373="否","非本次棧板儲位分析對象",IF(R373="是","旺季前需前移並增加棧板位",IF(N373&gt;0,"需增加棧板位",IF(N373&lt;0,"可釋放部分棧板位","維持現況"))))</x:f>
        <x:v>非本次棧板儲位分析對象</x:v>
      </x:c>
    </x:row>
    <x:row r="374">
      <x:c r="A374" s="24" t="str">
        <x:f>'500件商品'!A374</x:f>
        <x:v>PX0370</x:v>
      </x:c>
      <x:c r="B374" s="24" t="str">
        <x:f>'500件商品'!B374</x:f>
        <x:v>玻璃瓶醬料-小包裝</x:v>
      </x:c>
      <x:c r="C374" s="24" t="str">
        <x:f>'500件商品'!D374</x:f>
        <x:v>Cluster 1</x:v>
      </x:c>
      <x:c r="D374" s="26" t="n">
        <x:f>'500件商品'!F374</x:f>
        <x:v>44</x:v>
      </x:c>
      <x:c r="E374" s="24" t="str">
        <x:f>'500件商品'!K374</x:f>
        <x:v>否</x:v>
      </x:c>
      <x:c r="F374" s="24" t="str">
        <x:f>'500件商品'!L374</x:f>
      </x:c>
      <x:c r="G374" s="28" t="n">
        <x:f>'500件商品'!M374</x:f>
        <x:v>1</x:v>
      </x:c>
      <x:c r="H374" s="24" t="str">
        <x:f>'500件商品'!P374</x:f>
        <x:v>是</x:v>
      </x:c>
      <x:c r="I374" s="26" t="n">
        <x:f>'500件商品'!N374</x:f>
        <x:v>240</x:v>
      </x:c>
      <x:c r="J374" s="26" t="n">
        <x:f>'500件商品'!O374</x:f>
        <x:v>60</x:v>
      </x:c>
      <x:c r="K374" s="26" t="n">
        <x:f>IF(H374="是",CEILING(I374/J374,1),0)</x:f>
        <x:v>4</x:v>
      </x:c>
      <x:c r="L374" s="26" t="n">
        <x:f>ROUND(I374*G374,0)</x:f>
        <x:v>240</x:v>
      </x:c>
      <x:c r="M374" s="26" t="n">
        <x:f>IF(H374="是",CEILING(L374/J374,1),0)</x:f>
        <x:v>4</x:v>
      </x:c>
      <x:c r="N374" s="26" t="n">
        <x:f>M374-K374</x:f>
        <x:v>0</x:v>
      </x:c>
      <x:c r="O374" s="24" t="str">
        <x:f>'500件商品'!Q374</x:f>
        <x:v>彈性區</x:v>
      </x:c>
      <x:c r="P374" s="26" t="n">
        <x:f>'500件商品'!R374</x:f>
        <x:v>62</x:v>
      </x:c>
      <x:c r="Q374" s="24" t="str">
        <x:f>IF(H374="否","非棧板管理",IF(AND(E374="是",N374&gt;0),"季節彈性前移區",IF(OR(C374="Cluster 3",D374&gt;=55),"近端低層棧板區",IF(C374="Cluster 2","中段大貨位",IF(C374="Cluster 4","遠端彈性儲位","中段棧板區")))))</x:f>
        <x:v>中段棧板區</x:v>
      </x:c>
      <x:c r="R374" s="24" t="str">
        <x:f>IF(AND(H374="是",E374="是",N374&gt;0),"是","否")</x:f>
        <x:v>否</x:v>
      </x:c>
      <x:c r="S374" s="24" t="str">
        <x:f>IF(H374="否","非本次棧板儲位分析對象",IF(R374="是","旺季前需前移並增加棧板位",IF(N374&gt;0,"需增加棧板位",IF(N374&lt;0,"可釋放部分棧板位","維持現況"))))</x:f>
        <x:v>維持現況</x:v>
      </x:c>
    </x:row>
    <x:row r="375">
      <x:c r="A375" s="24" t="str">
        <x:f>'500件商品'!A375</x:f>
        <x:v>PX0371</x:v>
      </x:c>
      <x:c r="B375" s="24" t="str">
        <x:f>'500件商品'!B375</x:f>
        <x:v>乾電池組-補充包</x:v>
      </x:c>
      <x:c r="C375" s="24" t="str">
        <x:f>'500件商品'!D375</x:f>
        <x:v>Cluster 2</x:v>
      </x:c>
      <x:c r="D375" s="26" t="n">
        <x:f>'500件商品'!F375</x:f>
        <x:v>36</x:v>
      </x:c>
      <x:c r="E375" s="24" t="str">
        <x:f>'500件商品'!K375</x:f>
        <x:v>否</x:v>
      </x:c>
      <x:c r="F375" s="24" t="str">
        <x:f>'500件商品'!L375</x:f>
      </x:c>
      <x:c r="G375" s="28" t="n">
        <x:f>'500件商品'!M375</x:f>
        <x:v>1.1</x:v>
      </x:c>
      <x:c r="H375" s="24" t="str">
        <x:f>'500件商品'!P375</x:f>
        <x:v>是</x:v>
      </x:c>
      <x:c r="I375" s="26" t="n">
        <x:f>'500件商品'!N375</x:f>
        <x:v>258</x:v>
      </x:c>
      <x:c r="J375" s="26" t="n">
        <x:f>'500件商品'!O375</x:f>
        <x:v>20</x:v>
      </x:c>
      <x:c r="K375" s="26" t="n">
        <x:f>IF(H375="是",CEILING(I375/J375,1),0)</x:f>
        <x:v>13</x:v>
      </x:c>
      <x:c r="L375" s="26" t="n">
        <x:f>ROUND(I375*G375,0)</x:f>
        <x:v>284</x:v>
      </x:c>
      <x:c r="M375" s="26" t="n">
        <x:f>IF(H375="是",CEILING(L375/J375,1),0)</x:f>
        <x:v>15</x:v>
      </x:c>
      <x:c r="N375" s="26" t="n">
        <x:f>M375-K375</x:f>
        <x:v>2</x:v>
      </x:c>
      <x:c r="O375" s="24" t="str">
        <x:f>'500件商品'!Q375</x:f>
        <x:v>彈性區</x:v>
      </x:c>
      <x:c r="P375" s="26" t="n">
        <x:f>'500件商品'!R375</x:f>
        <x:v>48</x:v>
      </x:c>
      <x:c r="Q375" s="24" t="str">
        <x:f>IF(H375="否","非棧板管理",IF(AND(E375="是",N375&gt;0),"季節彈性前移區",IF(OR(C375="Cluster 3",D375&gt;=55),"近端低層棧板區",IF(C375="Cluster 2","中段大貨位",IF(C375="Cluster 4","遠端彈性儲位","中段棧板區")))))</x:f>
        <x:v>中段大貨位</x:v>
      </x:c>
      <x:c r="R375" s="24" t="str">
        <x:f>IF(AND(H375="是",E375="是",N375&gt;0),"是","否")</x:f>
        <x:v>否</x:v>
      </x:c>
      <x:c r="S375" s="24" t="str">
        <x:f>IF(H375="否","非本次棧板儲位分析對象",IF(R375="是","旺季前需前移並增加棧板位",IF(N375&gt;0,"需增加棧板位",IF(N375&lt;0,"可釋放部分棧板位","維持現況"))))</x:f>
        <x:v>需增加棧板位</x:v>
      </x:c>
    </x:row>
    <x:row r="376">
      <x:c r="A376" s="24" t="str">
        <x:f>'500件商品'!A376</x:f>
        <x:v>PX0372</x:v>
      </x:c>
      <x:c r="B376" s="24" t="str">
        <x:f>'500件商品'!B376</x:f>
        <x:v>地板清潔劑-促銷組</x:v>
      </x:c>
      <x:c r="C376" s="24" t="str">
        <x:f>'500件商品'!D376</x:f>
        <x:v>Cluster 1</x:v>
      </x:c>
      <x:c r="D376" s="26" t="n">
        <x:f>'500件商品'!F376</x:f>
        <x:v>5</x:v>
      </x:c>
      <x:c r="E376" s="24" t="str">
        <x:f>'500件商品'!K376</x:f>
        <x:v>否</x:v>
      </x:c>
      <x:c r="F376" s="24" t="str">
        <x:f>'500件商品'!L376</x:f>
      </x:c>
      <x:c r="G376" s="28" t="n">
        <x:f>'500件商品'!M376</x:f>
        <x:v>1.1</x:v>
      </x:c>
      <x:c r="H376" s="24" t="str">
        <x:f>'500件商品'!P376</x:f>
        <x:v>是</x:v>
      </x:c>
      <x:c r="I376" s="26" t="n">
        <x:f>'500件商品'!N376</x:f>
        <x:v>36</x:v>
      </x:c>
      <x:c r="J376" s="26" t="n">
        <x:f>'500件商品'!O376</x:f>
        <x:v>48</x:v>
      </x:c>
      <x:c r="K376" s="26" t="n">
        <x:f>IF(H376="是",CEILING(I376/J376,1),0)</x:f>
        <x:v>1</x:v>
      </x:c>
      <x:c r="L376" s="26" t="n">
        <x:f>ROUND(I376*G376,0)</x:f>
        <x:v>40</x:v>
      </x:c>
      <x:c r="M376" s="26" t="n">
        <x:f>IF(H376="是",CEILING(L376/J376,1),0)</x:f>
        <x:v>1</x:v>
      </x:c>
      <x:c r="N376" s="26" t="n">
        <x:f>M376-K376</x:f>
        <x:v>0</x:v>
      </x:c>
      <x:c r="O376" s="24" t="str">
        <x:f>'500件商品'!Q376</x:f>
        <x:v>彈性區</x:v>
      </x:c>
      <x:c r="P376" s="26" t="n">
        <x:f>'500件商品'!R376</x:f>
        <x:v>58</x:v>
      </x:c>
      <x:c r="Q376" s="24" t="str">
        <x:f>IF(H376="否","非棧板管理",IF(AND(E376="是",N376&gt;0),"季節彈性前移區",IF(OR(C376="Cluster 3",D376&gt;=55),"近端低層棧板區",IF(C376="Cluster 2","中段大貨位",IF(C376="Cluster 4","遠端彈性儲位","中段棧板區")))))</x:f>
        <x:v>中段棧板區</x:v>
      </x:c>
      <x:c r="R376" s="24" t="str">
        <x:f>IF(AND(H376="是",E376="是",N376&gt;0),"是","否")</x:f>
        <x:v>否</x:v>
      </x:c>
      <x:c r="S376" s="24" t="str">
        <x:f>IF(H376="否","非本次棧板儲位分析對象",IF(R376="是","旺季前需前移並增加棧板位",IF(N376&gt;0,"需增加棧板位",IF(N376&lt;0,"可釋放部分棧板位","維持現況"))))</x:f>
        <x:v>維持現況</x:v>
      </x:c>
    </x:row>
    <x:row r="377">
      <x:c r="A377" s="24" t="str">
        <x:f>'500件商品'!A377</x:f>
        <x:v>PX0373</x:v>
      </x:c>
      <x:c r="B377" s="24" t="str">
        <x:f>'500件商品'!B377</x:f>
        <x:v>瓶裝水600ml-補充包</x:v>
      </x:c>
      <x:c r="C377" s="24" t="str">
        <x:f>'500件商品'!D377</x:f>
        <x:v>Cluster 3</x:v>
      </x:c>
      <x:c r="D377" s="26" t="n">
        <x:f>'500件商品'!F377</x:f>
        <x:v>70</x:v>
      </x:c>
      <x:c r="E377" s="24" t="str">
        <x:f>'500件商品'!K377</x:f>
        <x:v>否</x:v>
      </x:c>
      <x:c r="F377" s="24" t="str">
        <x:f>'500件商品'!L377</x:f>
      </x:c>
      <x:c r="G377" s="28" t="n">
        <x:f>'500件商品'!M377</x:f>
        <x:v>1.5</x:v>
      </x:c>
      <x:c r="H377" s="24" t="str">
        <x:f>'500件商品'!P377</x:f>
        <x:v>是</x:v>
      </x:c>
      <x:c r="I377" s="26" t="n">
        <x:f>'500件商品'!N377</x:f>
        <x:v>287</x:v>
      </x:c>
      <x:c r="J377" s="26" t="n">
        <x:f>'500件商品'!O377</x:f>
        <x:v>32</x:v>
      </x:c>
      <x:c r="K377" s="26" t="n">
        <x:f>IF(H377="是",CEILING(I377/J377,1),0)</x:f>
        <x:v>9</x:v>
      </x:c>
      <x:c r="L377" s="26" t="n">
        <x:f>ROUND(I377*G377,0)</x:f>
        <x:v>431</x:v>
      </x:c>
      <x:c r="M377" s="26" t="n">
        <x:f>IF(H377="是",CEILING(L377/J377,1),0)</x:f>
        <x:v>14</x:v>
      </x:c>
      <x:c r="N377" s="26" t="n">
        <x:f>M377-K377</x:f>
        <x:v>5</x:v>
      </x:c>
      <x:c r="O377" s="24" t="str">
        <x:f>'500件商品'!Q377</x:f>
        <x:v>遠端區</x:v>
      </x:c>
      <x:c r="P377" s="26" t="n">
        <x:f>'500件商品'!R377</x:f>
        <x:v>74</x:v>
      </x:c>
      <x:c r="Q377" s="24" t="str">
        <x:f>IF(H377="否","非棧板管理",IF(AND(E377="是",N377&gt;0),"季節彈性前移區",IF(OR(C377="Cluster 3",D377&gt;=55),"近端低層棧板區",IF(C377="Cluster 2","中段大貨位",IF(C377="Cluster 4","遠端彈性儲位","中段棧板區")))))</x:f>
        <x:v>近端低層棧板區</x:v>
      </x:c>
      <x:c r="R377" s="24" t="str">
        <x:f>IF(AND(H377="是",E377="是",N377&gt;0),"是","否")</x:f>
        <x:v>否</x:v>
      </x:c>
      <x:c r="S377" s="24" t="str">
        <x:f>IF(H377="否","非本次棧板儲位分析對象",IF(R377="是","旺季前需前移並增加棧板位",IF(N377&gt;0,"需增加棧板位",IF(N377&lt;0,"可釋放部分棧板位","維持現況"))))</x:f>
        <x:v>需增加棧板位</x:v>
      </x:c>
    </x:row>
    <x:row r="378">
      <x:c r="A378" s="24" t="str">
        <x:f>'500件商品'!A378</x:f>
        <x:v>PX0374</x:v>
      </x:c>
      <x:c r="B378" s="24" t="str">
        <x:f>'500件商品'!B378</x:f>
        <x:v>咖哩塊箱-促銷組</x:v>
      </x:c>
      <x:c r="C378" s="24" t="str">
        <x:f>'500件商品'!D378</x:f>
        <x:v>Cluster 4</x:v>
      </x:c>
      <x:c r="D378" s="26" t="n">
        <x:f>'500件商品'!F378</x:f>
        <x:v>20</x:v>
      </x:c>
      <x:c r="E378" s="24" t="str">
        <x:f>'500件商品'!K378</x:f>
        <x:v>是</x:v>
      </x:c>
      <x:c r="F378" s="24" t="str">
        <x:f>'500件商品'!L378</x:f>
        <x:v>旺季</x:v>
      </x:c>
      <x:c r="G378" s="28" t="n">
        <x:f>'500件商品'!M378</x:f>
        <x:v>1.8</x:v>
      </x:c>
      <x:c r="H378" s="24" t="str">
        <x:f>'500件商品'!P378</x:f>
        <x:v>是</x:v>
      </x:c>
      <x:c r="I378" s="26" t="n">
        <x:f>'500件商品'!N378</x:f>
        <x:v>162</x:v>
      </x:c>
      <x:c r="J378" s="26" t="n">
        <x:f>'500件商品'!O378</x:f>
        <x:v>30</x:v>
      </x:c>
      <x:c r="K378" s="26" t="n">
        <x:f>IF(H378="是",CEILING(I378/J378,1),0)</x:f>
        <x:v>6</x:v>
      </x:c>
      <x:c r="L378" s="26" t="n">
        <x:f>ROUND(I378*G378,0)</x:f>
        <x:v>292</x:v>
      </x:c>
      <x:c r="M378" s="26" t="n">
        <x:f>IF(H378="是",CEILING(L378/J378,1),0)</x:f>
        <x:v>10</x:v>
      </x:c>
      <x:c r="N378" s="26" t="n">
        <x:f>M378-K378</x:f>
        <x:v>4</x:v>
      </x:c>
      <x:c r="O378" s="24" t="str">
        <x:f>'500件商品'!Q378</x:f>
        <x:v>遠端區</x:v>
      </x:c>
      <x:c r="P378" s="26" t="n">
        <x:f>'500件商品'!R378</x:f>
        <x:v>56</x:v>
      </x:c>
      <x:c r="Q378" s="24" t="str">
        <x:f>IF(H378="否","非棧板管理",IF(AND(E378="是",N378&gt;0),"季節彈性前移區",IF(OR(C378="Cluster 3",D378&gt;=55),"近端低層棧板區",IF(C378="Cluster 2","中段大貨位",IF(C378="Cluster 4","遠端彈性儲位","中段棧板區")))))</x:f>
        <x:v>季節彈性前移區</x:v>
      </x:c>
      <x:c r="R378" s="24" t="str">
        <x:f>IF(AND(H378="是",E378="是",N378&gt;0),"是","否")</x:f>
        <x:v>是</x:v>
      </x:c>
      <x:c r="S378" s="24" t="str">
        <x:f>IF(H378="否","非本次棧板儲位分析對象",IF(R378="是","旺季前需前移並增加棧板位",IF(N378&gt;0,"需增加棧板位",IF(N378&lt;0,"可釋放部分棧板位","維持現況"))))</x:f>
        <x:v>旺季前需前移並增加棧板位</x:v>
      </x:c>
    </x:row>
    <x:row r="379">
      <x:c r="A379" s="24" t="str">
        <x:f>'500件商品'!A379</x:f>
        <x:v>PX0375</x:v>
      </x:c>
      <x:c r="B379" s="24" t="str">
        <x:f>'500件商品'!B379</x:f>
        <x:v>浴廁清潔劑-標準箱</x:v>
      </x:c>
      <x:c r="C379" s="24" t="str">
        <x:f>'500件商品'!D379</x:f>
        <x:v>Cluster 1</x:v>
      </x:c>
      <x:c r="D379" s="26" t="n">
        <x:f>'500件商品'!F379</x:f>
        <x:v>31</x:v>
      </x:c>
      <x:c r="E379" s="24" t="str">
        <x:f>'500件商品'!K379</x:f>
        <x:v>否</x:v>
      </x:c>
      <x:c r="F379" s="24" t="str">
        <x:f>'500件商品'!L379</x:f>
      </x:c>
      <x:c r="G379" s="28" t="n">
        <x:f>'500件商品'!M379</x:f>
        <x:v>1</x:v>
      </x:c>
      <x:c r="H379" s="24" t="str">
        <x:f>'500件商品'!P379</x:f>
        <x:v>是</x:v>
      </x:c>
      <x:c r="I379" s="26" t="n">
        <x:f>'500件商品'!N379</x:f>
        <x:v>190</x:v>
      </x:c>
      <x:c r="J379" s="26" t="n">
        <x:f>'500件商品'!O379</x:f>
        <x:v>72</x:v>
      </x:c>
      <x:c r="K379" s="26" t="n">
        <x:f>IF(H379="是",CEILING(I379/J379,1),0)</x:f>
        <x:v>3</x:v>
      </x:c>
      <x:c r="L379" s="26" t="n">
        <x:f>ROUND(I379*G379,0)</x:f>
        <x:v>190</x:v>
      </x:c>
      <x:c r="M379" s="26" t="n">
        <x:f>IF(H379="是",CEILING(L379/J379,1),0)</x:f>
        <x:v>3</x:v>
      </x:c>
      <x:c r="N379" s="26" t="n">
        <x:f>M379-K379</x:f>
        <x:v>0</x:v>
      </x:c>
      <x:c r="O379" s="24" t="str">
        <x:f>'500件商品'!Q379</x:f>
        <x:v>K區</x:v>
      </x:c>
      <x:c r="P379" s="26" t="n">
        <x:f>'500件商品'!R379</x:f>
        <x:v>54</x:v>
      </x:c>
      <x:c r="Q379" s="24" t="str">
        <x:f>IF(H379="否","非棧板管理",IF(AND(E379="是",N379&gt;0),"季節彈性前移區",IF(OR(C379="Cluster 3",D379&gt;=55),"近端低層棧板區",IF(C379="Cluster 2","中段大貨位",IF(C379="Cluster 4","遠端彈性儲位","中段棧板區")))))</x:f>
        <x:v>中段棧板區</x:v>
      </x:c>
      <x:c r="R379" s="24" t="str">
        <x:f>IF(AND(H379="是",E379="是",N379&gt;0),"是","否")</x:f>
        <x:v>否</x:v>
      </x:c>
      <x:c r="S379" s="24" t="str">
        <x:f>IF(H379="否","非本次棧板儲位分析對象",IF(R379="是","旺季前需前移並增加棧板位",IF(N379&gt;0,"需增加棧板位",IF(N379&lt;0,"可釋放部分棧板位","維持現況"))))</x:f>
        <x:v>維持現況</x:v>
      </x:c>
    </x:row>
    <x:row r="380">
      <x:c r="A380" s="24" t="str">
        <x:f>'500件商品'!A380</x:f>
        <x:v>PX0376</x:v>
      </x:c>
      <x:c r="B380" s="24" t="str">
        <x:f>'500件商品'!B380</x:f>
        <x:v>碳酸飲料整箱-補充包</x:v>
      </x:c>
      <x:c r="C380" s="24" t="str">
        <x:f>'500件商品'!D380</x:f>
        <x:v>Cluster 2</x:v>
      </x:c>
      <x:c r="D380" s="26" t="n">
        <x:f>'500件商品'!F380</x:f>
        <x:v>36</x:v>
      </x:c>
      <x:c r="E380" s="24" t="str">
        <x:f>'500件商品'!K380</x:f>
        <x:v>否</x:v>
      </x:c>
      <x:c r="F380" s="24" t="str">
        <x:f>'500件商品'!L380</x:f>
      </x:c>
      <x:c r="G380" s="28" t="n">
        <x:f>'500件商品'!M380</x:f>
        <x:v>1.3</x:v>
      </x:c>
      <x:c r="H380" s="24" t="str">
        <x:f>'500件商品'!P380</x:f>
        <x:v>是</x:v>
      </x:c>
      <x:c r="I380" s="26" t="n">
        <x:f>'500件商品'!N380</x:f>
        <x:v>135</x:v>
      </x:c>
      <x:c r="J380" s="26" t="n">
        <x:f>'500件商品'!O380</x:f>
        <x:v>32</x:v>
      </x:c>
      <x:c r="K380" s="26" t="n">
        <x:f>IF(H380="是",CEILING(I380/J380,1),0)</x:f>
        <x:v>5</x:v>
      </x:c>
      <x:c r="L380" s="26" t="n">
        <x:f>ROUND(I380*G380,0)</x:f>
        <x:v>176</x:v>
      </x:c>
      <x:c r="M380" s="26" t="n">
        <x:f>IF(H380="是",CEILING(L380/J380,1),0)</x:f>
        <x:v>6</x:v>
      </x:c>
      <x:c r="N380" s="26" t="n">
        <x:f>M380-K380</x:f>
        <x:v>1</x:v>
      </x:c>
      <x:c r="O380" s="24" t="str">
        <x:f>'500件商品'!Q380</x:f>
        <x:v>3區</x:v>
      </x:c>
      <x:c r="P380" s="26" t="n">
        <x:f>'500件商品'!R380</x:f>
        <x:v>36</x:v>
      </x:c>
      <x:c r="Q380" s="24" t="str">
        <x:f>IF(H380="否","非棧板管理",IF(AND(E380="是",N380&gt;0),"季節彈性前移區",IF(OR(C380="Cluster 3",D380&gt;=55),"近端低層棧板區",IF(C380="Cluster 2","中段大貨位",IF(C380="Cluster 4","遠端彈性儲位","中段棧板區")))))</x:f>
        <x:v>中段大貨位</x:v>
      </x:c>
      <x:c r="R380" s="24" t="str">
        <x:f>IF(AND(H380="是",E380="是",N380&gt;0),"是","否")</x:f>
        <x:v>否</x:v>
      </x:c>
      <x:c r="S380" s="24" t="str">
        <x:f>IF(H380="否","非本次棧板儲位分析對象",IF(R380="是","旺季前需前移並增加棧板位",IF(N380&gt;0,"需增加棧板位",IF(N380&lt;0,"可釋放部分棧板位","維持現況"))))</x:f>
        <x:v>需增加棧板位</x:v>
      </x:c>
    </x:row>
    <x:row r="381">
      <x:c r="A381" s="24" t="str">
        <x:f>'500件商品'!A381</x:f>
        <x:v>PX0377</x:v>
      </x:c>
      <x:c r="B381" s="24" t="str">
        <x:f>'500件商品'!B381</x:f>
        <x:v>廚房紙巾-家庭號</x:v>
      </x:c>
      <x:c r="C381" s="24" t="str">
        <x:f>'500件商品'!D381</x:f>
        <x:v>Cluster 2</x:v>
      </x:c>
      <x:c r="D381" s="26" t="n">
        <x:f>'500件商品'!F381</x:f>
        <x:v>13</x:v>
      </x:c>
      <x:c r="E381" s="24" t="str">
        <x:f>'500件商品'!K381</x:f>
        <x:v>否</x:v>
      </x:c>
      <x:c r="F381" s="24" t="str">
        <x:f>'500件商品'!L381</x:f>
      </x:c>
      <x:c r="G381" s="28" t="n">
        <x:f>'500件商品'!M381</x:f>
        <x:v>1.1</x:v>
      </x:c>
      <x:c r="H381" s="24" t="str">
        <x:f>'500件商品'!P381</x:f>
        <x:v>是</x:v>
      </x:c>
      <x:c r="I381" s="26" t="n">
        <x:f>'500件商品'!N381</x:f>
        <x:v>38</x:v>
      </x:c>
      <x:c r="J381" s="26" t="n">
        <x:f>'500件商品'!O381</x:f>
        <x:v>30</x:v>
      </x:c>
      <x:c r="K381" s="26" t="n">
        <x:f>IF(H381="是",CEILING(I381/J381,1),0)</x:f>
        <x:v>2</x:v>
      </x:c>
      <x:c r="L381" s="26" t="n">
        <x:f>ROUND(I381*G381,0)</x:f>
        <x:v>42</x:v>
      </x:c>
      <x:c r="M381" s="26" t="n">
        <x:f>IF(H381="是",CEILING(L381/J381,1),0)</x:f>
        <x:v>2</x:v>
      </x:c>
      <x:c r="N381" s="26" t="n">
        <x:f>M381-K381</x:f>
        <x:v>0</x:v>
      </x:c>
      <x:c r="O381" s="24" t="str">
        <x:f>'500件商品'!Q381</x:f>
        <x:v>3區</x:v>
      </x:c>
      <x:c r="P381" s="26" t="n">
        <x:f>'500件商品'!R381</x:f>
        <x:v>38</x:v>
      </x:c>
      <x:c r="Q381" s="24" t="str">
        <x:f>IF(H381="否","非棧板管理",IF(AND(E381="是",N381&gt;0),"季節彈性前移區",IF(OR(C381="Cluster 3",D381&gt;=55),"近端低層棧板區",IF(C381="Cluster 2","中段大貨位",IF(C381="Cluster 4","遠端彈性儲位","中段棧板區")))))</x:f>
        <x:v>中段大貨位</x:v>
      </x:c>
      <x:c r="R381" s="24" t="str">
        <x:f>IF(AND(H381="是",E381="是",N381&gt;0),"是","否")</x:f>
        <x:v>否</x:v>
      </x:c>
      <x:c r="S381" s="24" t="str">
        <x:f>IF(H381="否","非本次棧板儲位分析對象",IF(R381="是","旺季前需前移並增加棧板位",IF(N381&gt;0,"需增加棧板位",IF(N381&lt;0,"可釋放部分棧板位","維持現況"))))</x:f>
        <x:v>維持現況</x:v>
      </x:c>
    </x:row>
    <x:row r="382">
      <x:c r="A382" s="24" t="str">
        <x:f>'500件商品'!A382</x:f>
        <x:v>PX0378</x:v>
      </x:c>
      <x:c r="B382" s="24" t="str">
        <x:f>'500件商品'!B382</x:f>
        <x:v>乾電池組-補充包</x:v>
      </x:c>
      <x:c r="C382" s="24" t="str">
        <x:f>'500件商品'!D382</x:f>
        <x:v>Cluster 5</x:v>
      </x:c>
      <x:c r="D382" s="26" t="n">
        <x:f>'500件商品'!F382</x:f>
        <x:v>61</x:v>
      </x:c>
      <x:c r="E382" s="24" t="str">
        <x:f>'500件商品'!K382</x:f>
        <x:v>否</x:v>
      </x:c>
      <x:c r="F382" s="24" t="str">
        <x:f>'500件商品'!L382</x:f>
      </x:c>
      <x:c r="G382" s="28" t="n">
        <x:f>'500件商品'!M382</x:f>
        <x:v>1</x:v>
      </x:c>
      <x:c r="H382" s="24" t="str">
        <x:f>'500件商品'!P382</x:f>
        <x:v>是</x:v>
      </x:c>
      <x:c r="I382" s="26" t="n">
        <x:f>'500件商品'!N382</x:f>
        <x:v>409</x:v>
      </x:c>
      <x:c r="J382" s="26" t="n">
        <x:f>'500件商品'!O382</x:f>
        <x:v>80</x:v>
      </x:c>
      <x:c r="K382" s="26" t="n">
        <x:f>IF(H382="是",CEILING(I382/J382,1),0)</x:f>
        <x:v>6</x:v>
      </x:c>
      <x:c r="L382" s="26" t="n">
        <x:f>ROUND(I382*G382,0)</x:f>
        <x:v>409</x:v>
      </x:c>
      <x:c r="M382" s="26" t="n">
        <x:f>IF(H382="是",CEILING(L382/J382,1),0)</x:f>
        <x:v>6</x:v>
      </x:c>
      <x:c r="N382" s="26" t="n">
        <x:f>M382-K382</x:f>
        <x:v>0</x:v>
      </x:c>
      <x:c r="O382" s="24" t="str">
        <x:f>'500件商品'!Q382</x:f>
        <x:v>A區</x:v>
      </x:c>
      <x:c r="P382" s="26" t="n">
        <x:f>'500件商品'!R382</x:f>
        <x:v>30</x:v>
      </x:c>
      <x:c r="Q382" s="24" t="str">
        <x:f>IF(H382="否","非棧板管理",IF(AND(E382="是",N382&gt;0),"季節彈性前移區",IF(OR(C382="Cluster 3",D382&gt;=55),"近端低層棧板區",IF(C382="Cluster 2","中段大貨位",IF(C382="Cluster 4","遠端彈性儲位","中段棧板區")))))</x:f>
        <x:v>近端低層棧板區</x:v>
      </x:c>
      <x:c r="R382" s="24" t="str">
        <x:f>IF(AND(H382="是",E382="是",N382&gt;0),"是","否")</x:f>
        <x:v>否</x:v>
      </x:c>
      <x:c r="S382" s="24" t="str">
        <x:f>IF(H382="否","非本次棧板儲位分析對象",IF(R382="是","旺季前需前移並增加棧板位",IF(N382&gt;0,"需增加棧板位",IF(N382&lt;0,"可釋放部分棧板位","維持現況"))))</x:f>
        <x:v>維持現況</x:v>
      </x:c>
    </x:row>
    <x:row r="383">
      <x:c r="A383" s="24" t="str">
        <x:f>'500件商品'!A383</x:f>
        <x:v>PX0379</x:v>
      </x:c>
      <x:c r="B383" s="24" t="str">
        <x:f>'500件商品'!B383</x:f>
        <x:v>保鮮膜-箱裝</x:v>
      </x:c>
      <x:c r="C383" s="24" t="str">
        <x:f>'500件商品'!D383</x:f>
        <x:v>Cluster 5</x:v>
      </x:c>
      <x:c r="D383" s="26" t="n">
        <x:f>'500件商品'!F383</x:f>
        <x:v>22</x:v>
      </x:c>
      <x:c r="E383" s="24" t="str">
        <x:f>'500件商品'!K383</x:f>
        <x:v>否</x:v>
      </x:c>
      <x:c r="F383" s="24" t="str">
        <x:f>'500件商品'!L383</x:f>
      </x:c>
      <x:c r="G383" s="28" t="n">
        <x:f>'500件商品'!M383</x:f>
        <x:v>1</x:v>
      </x:c>
      <x:c r="H383" s="24" t="str">
        <x:f>'500件商品'!P383</x:f>
        <x:v>否</x:v>
      </x:c>
      <x:c r="I383" s="26" t="n">
        <x:f>'500件商品'!N383</x:f>
        <x:v>107</x:v>
      </x:c>
      <x:c r="J383" s="26" t="str">
        <x:f>'500件商品'!O383</x:f>
      </x:c>
      <x:c r="K383" s="26" t="n">
        <x:f>IF(H383="是",CEILING(I383/J383,1),0)</x:f>
        <x:v>0</x:v>
      </x:c>
      <x:c r="L383" s="26" t="n">
        <x:f>ROUND(I383*G383,0)</x:f>
        <x:v>107</x:v>
      </x:c>
      <x:c r="M383" s="26" t="n">
        <x:f>IF(H383="是",CEILING(L383/J383,1),0)</x:f>
        <x:v>0</x:v>
      </x:c>
      <x:c r="N383" s="26" t="n">
        <x:f>M383-K383</x:f>
        <x:v>0</x:v>
      </x:c>
      <x:c r="O383" s="24" t="str">
        <x:f>'500件商品'!Q383</x:f>
        <x:v>1區</x:v>
      </x:c>
      <x:c r="P383" s="26" t="n">
        <x:f>'500件商品'!R383</x:f>
        <x:v>30</x:v>
      </x:c>
      <x:c r="Q383" s="24" t="str">
        <x:f>IF(H383="否","非棧板管理",IF(AND(E383="是",N383&gt;0),"季節彈性前移區",IF(OR(C383="Cluster 3",D383&gt;=55),"近端低層棧板區",IF(C383="Cluster 2","中段大貨位",IF(C383="Cluster 4","遠端彈性儲位","中段棧板區")))))</x:f>
        <x:v>非棧板管理</x:v>
      </x:c>
      <x:c r="R383" s="24" t="str">
        <x:f>IF(AND(H383="是",E383="是",N383&gt;0),"是","否")</x:f>
        <x:v>否</x:v>
      </x:c>
      <x:c r="S383" s="24" t="str">
        <x:f>IF(H383="否","非本次棧板儲位分析對象",IF(R383="是","旺季前需前移並增加棧板位",IF(N383&gt;0,"需增加棧板位",IF(N383&lt;0,"可釋放部分棧板位","維持現況"))))</x:f>
        <x:v>非本次棧板儲位分析對象</x:v>
      </x:c>
    </x:row>
    <x:row r="384">
      <x:c r="A384" s="24" t="str">
        <x:f>'500件商品'!A384</x:f>
        <x:v>PX0380</x:v>
      </x:c>
      <x:c r="B384" s="24" t="str">
        <x:f>'500件商品'!B384</x:f>
        <x:v>調味醬油-促銷組</x:v>
      </x:c>
      <x:c r="C384" s="24" t="str">
        <x:f>'500件商品'!D384</x:f>
        <x:v>Cluster 1</x:v>
      </x:c>
      <x:c r="D384" s="26" t="n">
        <x:f>'500件商品'!F384</x:f>
        <x:v>17</x:v>
      </x:c>
      <x:c r="E384" s="24" t="str">
        <x:f>'500件商品'!K384</x:f>
        <x:v>否</x:v>
      </x:c>
      <x:c r="F384" s="24" t="str">
        <x:f>'500件商品'!L384</x:f>
      </x:c>
      <x:c r="G384" s="28" t="n">
        <x:f>'500件商品'!M384</x:f>
        <x:v>1</x:v>
      </x:c>
      <x:c r="H384" s="24" t="str">
        <x:f>'500件商品'!P384</x:f>
        <x:v>是</x:v>
      </x:c>
      <x:c r="I384" s="26" t="n">
        <x:f>'500件商品'!N384</x:f>
        <x:v>127</x:v>
      </x:c>
      <x:c r="J384" s="26" t="n">
        <x:f>'500件商品'!O384</x:f>
        <x:v>48</x:v>
      </x:c>
      <x:c r="K384" s="26" t="n">
        <x:f>IF(H384="是",CEILING(I384/J384,1),0)</x:f>
        <x:v>3</x:v>
      </x:c>
      <x:c r="L384" s="26" t="n">
        <x:f>ROUND(I384*G384,0)</x:f>
        <x:v>127</x:v>
      </x:c>
      <x:c r="M384" s="26" t="n">
        <x:f>IF(H384="是",CEILING(L384/J384,1),0)</x:f>
        <x:v>3</x:v>
      </x:c>
      <x:c r="N384" s="26" t="n">
        <x:f>M384-K384</x:f>
        <x:v>0</x:v>
      </x:c>
      <x:c r="O384" s="24" t="str">
        <x:f>'500件商品'!Q384</x:f>
        <x:v>1區</x:v>
      </x:c>
      <x:c r="P384" s="26" t="n">
        <x:f>'500件商品'!R384</x:f>
        <x:v>31</x:v>
      </x:c>
      <x:c r="Q384" s="24" t="str">
        <x:f>IF(H384="否","非棧板管理",IF(AND(E384="是",N384&gt;0),"季節彈性前移區",IF(OR(C384="Cluster 3",D384&gt;=55),"近端低層棧板區",IF(C384="Cluster 2","中段大貨位",IF(C384="Cluster 4","遠端彈性儲位","中段棧板區")))))</x:f>
        <x:v>中段棧板區</x:v>
      </x:c>
      <x:c r="R384" s="24" t="str">
        <x:f>IF(AND(H384="是",E384="是",N384&gt;0),"是","否")</x:f>
        <x:v>否</x:v>
      </x:c>
      <x:c r="S384" s="24" t="str">
        <x:f>IF(H384="否","非本次棧板儲位分析對象",IF(R384="是","旺季前需前移並增加棧板位",IF(N384&gt;0,"需增加棧板位",IF(N384&lt;0,"可釋放部分棧板位","維持現況"))))</x:f>
        <x:v>維持現況</x:v>
      </x:c>
    </x:row>
    <x:row r="385">
      <x:c r="A385" s="24" t="str">
        <x:f>'500件商品'!A385</x:f>
        <x:v>PX0381</x:v>
      </x:c>
      <x:c r="B385" s="24" t="str">
        <x:f>'500件商品'!B385</x:f>
        <x:v>標籤紙卷-標準箱</x:v>
      </x:c>
      <x:c r="C385" s="24" t="str">
        <x:f>'500件商品'!D385</x:f>
        <x:v>Cluster 5</x:v>
      </x:c>
      <x:c r="D385" s="26" t="n">
        <x:f>'500件商品'!F385</x:f>
        <x:v>48</x:v>
      </x:c>
      <x:c r="E385" s="24" t="str">
        <x:f>'500件商品'!K385</x:f>
        <x:v>否</x:v>
      </x:c>
      <x:c r="F385" s="24" t="str">
        <x:f>'500件商品'!L385</x:f>
      </x:c>
      <x:c r="G385" s="28" t="n">
        <x:f>'500件商品'!M385</x:f>
        <x:v>1.1</x:v>
      </x:c>
      <x:c r="H385" s="24" t="str">
        <x:f>'500件商品'!P385</x:f>
        <x:v>是</x:v>
      </x:c>
      <x:c r="I385" s="26" t="n">
        <x:f>'500件商品'!N385</x:f>
        <x:v>227</x:v>
      </x:c>
      <x:c r="J385" s="26" t="n">
        <x:f>'500件商品'!O385</x:f>
        <x:v>72</x:v>
      </x:c>
      <x:c r="K385" s="26" t="n">
        <x:f>IF(H385="是",CEILING(I385/J385,1),0)</x:f>
        <x:v>4</x:v>
      </x:c>
      <x:c r="L385" s="26" t="n">
        <x:f>ROUND(I385*G385,0)</x:f>
        <x:v>250</x:v>
      </x:c>
      <x:c r="M385" s="26" t="n">
        <x:f>IF(H385="是",CEILING(L385/J385,1),0)</x:f>
        <x:v>4</x:v>
      </x:c>
      <x:c r="N385" s="26" t="n">
        <x:f>M385-K385</x:f>
        <x:v>0</x:v>
      </x:c>
      <x:c r="O385" s="24" t="str">
        <x:f>'500件商品'!Q385</x:f>
        <x:v>遠端區</x:v>
      </x:c>
      <x:c r="P385" s="26" t="n">
        <x:f>'500件商品'!R385</x:f>
        <x:v>63</x:v>
      </x:c>
      <x:c r="Q385" s="24" t="str">
        <x:f>IF(H385="否","非棧板管理",IF(AND(E385="是",N385&gt;0),"季節彈性前移區",IF(OR(C385="Cluster 3",D385&gt;=55),"近端低層棧板區",IF(C385="Cluster 2","中段大貨位",IF(C385="Cluster 4","遠端彈性儲位","中段棧板區")))))</x:f>
        <x:v>中段棧板區</x:v>
      </x:c>
      <x:c r="R385" s="24" t="str">
        <x:f>IF(AND(H385="是",E385="是",N385&gt;0),"是","否")</x:f>
        <x:v>否</x:v>
      </x:c>
      <x:c r="S385" s="24" t="str">
        <x:f>IF(H385="否","非本次棧板儲位分析對象",IF(R385="是","旺季前需前移並增加棧板位",IF(N385&gt;0,"需增加棧板位",IF(N385&lt;0,"可釋放部分棧板位","維持現況"))))</x:f>
        <x:v>維持現況</x:v>
      </x:c>
    </x:row>
    <x:row r="386">
      <x:c r="A386" s="24" t="str">
        <x:f>'500件商品'!A386</x:f>
        <x:v>PX0382</x:v>
      </x:c>
      <x:c r="B386" s="24" t="str">
        <x:f>'500件商品'!B386</x:f>
        <x:v>柔軟精-箱裝</x:v>
      </x:c>
      <x:c r="C386" s="24" t="str">
        <x:f>'500件商品'!D386</x:f>
        <x:v>Cluster 1</x:v>
      </x:c>
      <x:c r="D386" s="26" t="n">
        <x:f>'500件商品'!F386</x:f>
        <x:v>5</x:v>
      </x:c>
      <x:c r="E386" s="24" t="str">
        <x:f>'500件商品'!K386</x:f>
        <x:v>否</x:v>
      </x:c>
      <x:c r="F386" s="24" t="str">
        <x:f>'500件商品'!L386</x:f>
      </x:c>
      <x:c r="G386" s="28" t="n">
        <x:f>'500件商品'!M386</x:f>
        <x:v>1</x:v>
      </x:c>
      <x:c r="H386" s="24" t="str">
        <x:f>'500件商品'!P386</x:f>
        <x:v>是</x:v>
      </x:c>
      <x:c r="I386" s="26" t="n">
        <x:f>'500件商品'!N386</x:f>
        <x:v>44</x:v>
      </x:c>
      <x:c r="J386" s="26" t="n">
        <x:f>'500件商品'!O386</x:f>
        <x:v>60</x:v>
      </x:c>
      <x:c r="K386" s="26" t="n">
        <x:f>IF(H386="是",CEILING(I386/J386,1),0)</x:f>
        <x:v>1</x:v>
      </x:c>
      <x:c r="L386" s="26" t="n">
        <x:f>ROUND(I386*G386,0)</x:f>
        <x:v>44</x:v>
      </x:c>
      <x:c r="M386" s="26" t="n">
        <x:f>IF(H386="是",CEILING(L386/J386,1),0)</x:f>
        <x:v>1</x:v>
      </x:c>
      <x:c r="N386" s="26" t="n">
        <x:f>M386-K386</x:f>
        <x:v>0</x:v>
      </x:c>
      <x:c r="O386" s="24" t="str">
        <x:f>'500件商品'!Q386</x:f>
        <x:v>K區</x:v>
      </x:c>
      <x:c r="P386" s="26" t="n">
        <x:f>'500件商品'!R386</x:f>
        <x:v>60</x:v>
      </x:c>
      <x:c r="Q386" s="24" t="str">
        <x:f>IF(H386="否","非棧板管理",IF(AND(E386="是",N386&gt;0),"季節彈性前移區",IF(OR(C386="Cluster 3",D386&gt;=55),"近端低層棧板區",IF(C386="Cluster 2","中段大貨位",IF(C386="Cluster 4","遠端彈性儲位","中段棧板區")))))</x:f>
        <x:v>中段棧板區</x:v>
      </x:c>
      <x:c r="R386" s="24" t="str">
        <x:f>IF(AND(H386="是",E386="是",N386&gt;0),"是","否")</x:f>
        <x:v>否</x:v>
      </x:c>
      <x:c r="S386" s="24" t="str">
        <x:f>IF(H386="否","非本次棧板儲位分析對象",IF(R386="是","旺季前需前移並增加棧板位",IF(N386&gt;0,"需增加棧板位",IF(N386&lt;0,"可釋放部分棧板位","維持現況"))))</x:f>
        <x:v>維持現況</x:v>
      </x:c>
    </x:row>
    <x:row r="387">
      <x:c r="A387" s="24" t="str">
        <x:f>'500件商品'!A387</x:f>
        <x:v>PX0383</x:v>
      </x:c>
      <x:c r="B387" s="24" t="str">
        <x:f>'500件商品'!B387</x:f>
        <x:v>季節禮盒-標準箱</x:v>
      </x:c>
      <x:c r="C387" s="24" t="str">
        <x:f>'500件商品'!D387</x:f>
        <x:v>Cluster 4</x:v>
      </x:c>
      <x:c r="D387" s="26" t="n">
        <x:f>'500件商品'!F387</x:f>
        <x:v>14</x:v>
      </x:c>
      <x:c r="E387" s="24" t="str">
        <x:f>'500件商品'!K387</x:f>
        <x:v>是</x:v>
      </x:c>
      <x:c r="F387" s="24" t="str">
        <x:f>'500件商品'!L387</x:f>
        <x:v>1-2月</x:v>
      </x:c>
      <x:c r="G387" s="28" t="n">
        <x:f>'500件商品'!M387</x:f>
        <x:v>2</x:v>
      </x:c>
      <x:c r="H387" s="24" t="str">
        <x:f>'500件商品'!P387</x:f>
        <x:v>是</x:v>
      </x:c>
      <x:c r="I387" s="26" t="n">
        <x:f>'500件商品'!N387</x:f>
        <x:v>35</x:v>
      </x:c>
      <x:c r="J387" s="26" t="n">
        <x:f>'500件商品'!O387</x:f>
        <x:v>24</x:v>
      </x:c>
      <x:c r="K387" s="26" t="n">
        <x:f>IF(H387="是",CEILING(I387/J387,1),0)</x:f>
        <x:v>2</x:v>
      </x:c>
      <x:c r="L387" s="26" t="n">
        <x:f>ROUND(I387*G387,0)</x:f>
        <x:v>70</x:v>
      </x:c>
      <x:c r="M387" s="26" t="n">
        <x:f>IF(H387="是",CEILING(L387/J387,1),0)</x:f>
        <x:v>3</x:v>
      </x:c>
      <x:c r="N387" s="26" t="n">
        <x:f>M387-K387</x:f>
        <x:v>1</x:v>
      </x:c>
      <x:c r="O387" s="24" t="str">
        <x:f>'500件商品'!Q387</x:f>
        <x:v>3區</x:v>
      </x:c>
      <x:c r="P387" s="26" t="n">
        <x:f>'500件商品'!R387</x:f>
        <x:v>35</x:v>
      </x:c>
      <x:c r="Q387" s="24" t="str">
        <x:f>IF(H387="否","非棧板管理",IF(AND(E387="是",N387&gt;0),"季節彈性前移區",IF(OR(C387="Cluster 3",D387&gt;=55),"近端低層棧板區",IF(C387="Cluster 2","中段大貨位",IF(C387="Cluster 4","遠端彈性儲位","中段棧板區")))))</x:f>
        <x:v>季節彈性前移區</x:v>
      </x:c>
      <x:c r="R387" s="24" t="str">
        <x:f>IF(AND(H387="是",E387="是",N387&gt;0),"是","否")</x:f>
        <x:v>是</x:v>
      </x:c>
      <x:c r="S387" s="24" t="str">
        <x:f>IF(H387="否","非本次棧板儲位分析對象",IF(R387="是","旺季前需前移並增加棧板位",IF(N387&gt;0,"需增加棧板位",IF(N387&lt;0,"可釋放部分棧板位","維持現況"))))</x:f>
        <x:v>旺季前需前移並增加棧板位</x:v>
      </x:c>
    </x:row>
    <x:row r="388">
      <x:c r="A388" s="24" t="str">
        <x:f>'500件商品'!A388</x:f>
        <x:v>PX0384</x:v>
      </x:c>
      <x:c r="B388" s="24" t="str">
        <x:f>'500件商品'!B388</x:f>
        <x:v>衛生棉組-箱裝</x:v>
      </x:c>
      <x:c r="C388" s="24" t="str">
        <x:f>'500件商品'!D388</x:f>
        <x:v>Cluster 5</x:v>
      </x:c>
      <x:c r="D388" s="26" t="n">
        <x:f>'500件商品'!F388</x:f>
        <x:v>36</x:v>
      </x:c>
      <x:c r="E388" s="24" t="str">
        <x:f>'500件商品'!K388</x:f>
        <x:v>否</x:v>
      </x:c>
      <x:c r="F388" s="24" t="str">
        <x:f>'500件商品'!L388</x:f>
      </x:c>
      <x:c r="G388" s="28" t="n">
        <x:f>'500件商品'!M388</x:f>
        <x:v>1.1</x:v>
      </x:c>
      <x:c r="H388" s="24" t="str">
        <x:f>'500件商品'!P388</x:f>
        <x:v>是</x:v>
      </x:c>
      <x:c r="I388" s="26" t="n">
        <x:f>'500件商品'!N388</x:f>
        <x:v>118</x:v>
      </x:c>
      <x:c r="J388" s="26" t="n">
        <x:f>'500件商品'!O388</x:f>
        <x:v>48</x:v>
      </x:c>
      <x:c r="K388" s="26" t="n">
        <x:f>IF(H388="是",CEILING(I388/J388,1),0)</x:f>
        <x:v>3</x:v>
      </x:c>
      <x:c r="L388" s="26" t="n">
        <x:f>ROUND(I388*G388,0)</x:f>
        <x:v>130</x:v>
      </x:c>
      <x:c r="M388" s="26" t="n">
        <x:f>IF(H388="是",CEILING(L388/J388,1),0)</x:f>
        <x:v>3</x:v>
      </x:c>
      <x:c r="N388" s="26" t="n">
        <x:f>M388-K388</x:f>
        <x:v>0</x:v>
      </x:c>
      <x:c r="O388" s="24" t="str">
        <x:f>'500件商品'!Q388</x:f>
        <x:v>3區</x:v>
      </x:c>
      <x:c r="P388" s="26" t="n">
        <x:f>'500件商品'!R388</x:f>
        <x:v>48</x:v>
      </x:c>
      <x:c r="Q388" s="24" t="str">
        <x:f>IF(H388="否","非棧板管理",IF(AND(E388="是",N388&gt;0),"季節彈性前移區",IF(OR(C388="Cluster 3",D388&gt;=55),"近端低層棧板區",IF(C388="Cluster 2","中段大貨位",IF(C388="Cluster 4","遠端彈性儲位","中段棧板區")))))</x:f>
        <x:v>中段棧板區</x:v>
      </x:c>
      <x:c r="R388" s="24" t="str">
        <x:f>IF(AND(H388="是",E388="是",N388&gt;0),"是","否")</x:f>
        <x:v>否</x:v>
      </x:c>
      <x:c r="S388" s="24" t="str">
        <x:f>IF(H388="否","非本次棧板儲位分析對象",IF(R388="是","旺季前需前移並增加棧板位",IF(N388&gt;0,"需增加棧板位",IF(N388&lt;0,"可釋放部分棧板位","維持現況"))))</x:f>
        <x:v>維持現況</x:v>
      </x:c>
    </x:row>
    <x:row r="389">
      <x:c r="A389" s="24" t="str">
        <x:f>'500件商品'!A389</x:f>
        <x:v>PX0385</x:v>
      </x:c>
      <x:c r="B389" s="24" t="str">
        <x:f>'500件商品'!B389</x:f>
        <x:v>咖啡罐裝整箱-補充包</x:v>
      </x:c>
      <x:c r="C389" s="24" t="str">
        <x:f>'500件商品'!D389</x:f>
        <x:v>Cluster 2</x:v>
      </x:c>
      <x:c r="D389" s="26" t="n">
        <x:f>'500件商品'!F389</x:f>
        <x:v>14</x:v>
      </x:c>
      <x:c r="E389" s="24" t="str">
        <x:f>'500件商品'!K389</x:f>
        <x:v>否</x:v>
      </x:c>
      <x:c r="F389" s="24" t="str">
        <x:f>'500件商品'!L389</x:f>
      </x:c>
      <x:c r="G389" s="28" t="n">
        <x:f>'500件商品'!M389</x:f>
        <x:v>1</x:v>
      </x:c>
      <x:c r="H389" s="24" t="str">
        <x:f>'500件商品'!P389</x:f>
        <x:v>是</x:v>
      </x:c>
      <x:c r="I389" s="26" t="n">
        <x:f>'500件商品'!N389</x:f>
        <x:v>76</x:v>
      </x:c>
      <x:c r="J389" s="26" t="n">
        <x:f>'500件商品'!O389</x:f>
        <x:v>18</x:v>
      </x:c>
      <x:c r="K389" s="26" t="n">
        <x:f>IF(H389="是",CEILING(I389/J389,1),0)</x:f>
        <x:v>5</x:v>
      </x:c>
      <x:c r="L389" s="26" t="n">
        <x:f>ROUND(I389*G389,0)</x:f>
        <x:v>76</x:v>
      </x:c>
      <x:c r="M389" s="26" t="n">
        <x:f>IF(H389="是",CEILING(L389/J389,1),0)</x:f>
        <x:v>5</x:v>
      </x:c>
      <x:c r="N389" s="26" t="n">
        <x:f>M389-K389</x:f>
        <x:v>0</x:v>
      </x:c>
      <x:c r="O389" s="24" t="str">
        <x:f>'500件商品'!Q389</x:f>
        <x:v>A區</x:v>
      </x:c>
      <x:c r="P389" s="26" t="n">
        <x:f>'500件商品'!R389</x:f>
        <x:v>23</x:v>
      </x:c>
      <x:c r="Q389" s="24" t="str">
        <x:f>IF(H389="否","非棧板管理",IF(AND(E389="是",N389&gt;0),"季節彈性前移區",IF(OR(C389="Cluster 3",D389&gt;=55),"近端低層棧板區",IF(C389="Cluster 2","中段大貨位",IF(C389="Cluster 4","遠端彈性儲位","中段棧板區")))))</x:f>
        <x:v>中段大貨位</x:v>
      </x:c>
      <x:c r="R389" s="24" t="str">
        <x:f>IF(AND(H389="是",E389="是",N389&gt;0),"是","否")</x:f>
        <x:v>否</x:v>
      </x:c>
      <x:c r="S389" s="24" t="str">
        <x:f>IF(H389="否","非本次棧板儲位分析對象",IF(R389="是","旺季前需前移並增加棧板位",IF(N389&gt;0,"需增加棧板位",IF(N389&lt;0,"可釋放部分棧板位","維持現況"))))</x:f>
        <x:v>維持現況</x:v>
      </x:c>
    </x:row>
    <x:row r="390">
      <x:c r="A390" s="24" t="str">
        <x:f>'500件商品'!A390</x:f>
        <x:v>PX0386</x:v>
      </x:c>
      <x:c r="B390" s="24" t="str">
        <x:f>'500件商品'!B390</x:f>
        <x:v>寵物尿布墊-促銷組</x:v>
      </x:c>
      <x:c r="C390" s="24" t="str">
        <x:f>'500件商品'!D390</x:f>
        <x:v>Cluster 2</x:v>
      </x:c>
      <x:c r="D390" s="26" t="n">
        <x:f>'500件商品'!F390</x:f>
        <x:v>11</x:v>
      </x:c>
      <x:c r="E390" s="24" t="str">
        <x:f>'500件商品'!K390</x:f>
        <x:v>否</x:v>
      </x:c>
      <x:c r="F390" s="24" t="str">
        <x:f>'500件商品'!L390</x:f>
      </x:c>
      <x:c r="G390" s="28" t="n">
        <x:f>'500件商品'!M390</x:f>
        <x:v>1</x:v>
      </x:c>
      <x:c r="H390" s="24" t="str">
        <x:f>'500件商品'!P390</x:f>
        <x:v>是</x:v>
      </x:c>
      <x:c r="I390" s="26" t="n">
        <x:f>'500件商品'!N390</x:f>
        <x:v>99</x:v>
      </x:c>
      <x:c r="J390" s="26" t="n">
        <x:f>'500件商品'!O390</x:f>
        <x:v>30</x:v>
      </x:c>
      <x:c r="K390" s="26" t="n">
        <x:f>IF(H390="是",CEILING(I390/J390,1),0)</x:f>
        <x:v>4</x:v>
      </x:c>
      <x:c r="L390" s="26" t="n">
        <x:f>ROUND(I390*G390,0)</x:f>
        <x:v>99</x:v>
      </x:c>
      <x:c r="M390" s="26" t="n">
        <x:f>IF(H390="是",CEILING(L390/J390,1),0)</x:f>
        <x:v>4</x:v>
      </x:c>
      <x:c r="N390" s="26" t="n">
        <x:f>M390-K390</x:f>
        <x:v>0</x:v>
      </x:c>
      <x:c r="O390" s="24" t="str">
        <x:f>'500件商品'!Q390</x:f>
        <x:v>3區</x:v>
      </x:c>
      <x:c r="P390" s="26" t="n">
        <x:f>'500件商品'!R390</x:f>
        <x:v>33</x:v>
      </x:c>
      <x:c r="Q390" s="24" t="str">
        <x:f>IF(H390="否","非棧板管理",IF(AND(E390="是",N390&gt;0),"季節彈性前移區",IF(OR(C390="Cluster 3",D390&gt;=55),"近端低層棧板區",IF(C390="Cluster 2","中段大貨位",IF(C390="Cluster 4","遠端彈性儲位","中段棧板區")))))</x:f>
        <x:v>中段大貨位</x:v>
      </x:c>
      <x:c r="R390" s="24" t="str">
        <x:f>IF(AND(H390="是",E390="是",N390&gt;0),"是","否")</x:f>
        <x:v>否</x:v>
      </x:c>
      <x:c r="S390" s="24" t="str">
        <x:f>IF(H390="否","非本次棧板儲位分析對象",IF(R390="是","旺季前需前移並增加棧板位",IF(N390&gt;0,"需增加棧板位",IF(N390&lt;0,"可釋放部分棧板位","維持現況"))))</x:f>
        <x:v>維持現況</x:v>
      </x:c>
    </x:row>
    <x:row r="391">
      <x:c r="A391" s="24" t="str">
        <x:f>'500件商品'!A391</x:f>
        <x:v>PX0387</x:v>
      </x:c>
      <x:c r="B391" s="24" t="str">
        <x:f>'500件商品'!B391</x:f>
        <x:v>中秋禮盒-箱裝</x:v>
      </x:c>
      <x:c r="C391" s="24" t="str">
        <x:f>'500件商品'!D391</x:f>
        <x:v>Cluster 4</x:v>
      </x:c>
      <x:c r="D391" s="26" t="n">
        <x:f>'500件商品'!F391</x:f>
        <x:v>4</x:v>
      </x:c>
      <x:c r="E391" s="24" t="str">
        <x:f>'500件商品'!K391</x:f>
        <x:v>是</x:v>
      </x:c>
      <x:c r="F391" s="24" t="str">
        <x:f>'500件商品'!L391</x:f>
        <x:v>1-2月</x:v>
      </x:c>
      <x:c r="G391" s="28" t="n">
        <x:f>'500件商品'!M391</x:f>
        <x:v>3</x:v>
      </x:c>
      <x:c r="H391" s="24" t="str">
        <x:f>'500件商品'!P391</x:f>
        <x:v>是</x:v>
      </x:c>
      <x:c r="I391" s="26" t="n">
        <x:f>'500件商品'!N391</x:f>
        <x:v>138</x:v>
      </x:c>
      <x:c r="J391" s="26" t="n">
        <x:f>'500件商品'!O391</x:f>
        <x:v>30</x:v>
      </x:c>
      <x:c r="K391" s="26" t="n">
        <x:f>IF(H391="是",CEILING(I391/J391,1),0)</x:f>
        <x:v>5</x:v>
      </x:c>
      <x:c r="L391" s="26" t="n">
        <x:f>ROUND(I391*G391,0)</x:f>
        <x:v>414</x:v>
      </x:c>
      <x:c r="M391" s="26" t="n">
        <x:f>IF(H391="是",CEILING(L391/J391,1),0)</x:f>
        <x:v>14</x:v>
      </x:c>
      <x:c r="N391" s="26" t="n">
        <x:f>M391-K391</x:f>
        <x:v>9</x:v>
      </x:c>
      <x:c r="O391" s="24" t="str">
        <x:f>'500件商品'!Q391</x:f>
        <x:v>K區</x:v>
      </x:c>
      <x:c r="P391" s="26" t="n">
        <x:f>'500件商品'!R391</x:f>
        <x:v>44</x:v>
      </x:c>
      <x:c r="Q391" s="24" t="str">
        <x:f>IF(H391="否","非棧板管理",IF(AND(E391="是",N391&gt;0),"季節彈性前移區",IF(OR(C391="Cluster 3",D391&gt;=55),"近端低層棧板區",IF(C391="Cluster 2","中段大貨位",IF(C391="Cluster 4","遠端彈性儲位","中段棧板區")))))</x:f>
        <x:v>季節彈性前移區</x:v>
      </x:c>
      <x:c r="R391" s="24" t="str">
        <x:f>IF(AND(H391="是",E391="是",N391&gt;0),"是","否")</x:f>
        <x:v>是</x:v>
      </x:c>
      <x:c r="S391" s="24" t="str">
        <x:f>IF(H391="否","非本次棧板儲位分析對象",IF(R391="是","旺季前需前移並增加棧板位",IF(N391&gt;0,"需增加棧板位",IF(N391&lt;0,"可釋放部分棧板位","維持現況"))))</x:f>
        <x:v>旺季前需前移並增加棧板位</x:v>
      </x:c>
    </x:row>
    <x:row r="392">
      <x:c r="A392" s="24" t="str">
        <x:f>'500件商品'!A392</x:f>
        <x:v>PX0388</x:v>
      </x:c>
      <x:c r="B392" s="24" t="str">
        <x:f>'500件商品'!B392</x:f>
        <x:v>貓砂10L-補充包</x:v>
      </x:c>
      <x:c r="C392" s="24" t="str">
        <x:f>'500件商品'!D392</x:f>
        <x:v>Cluster 2</x:v>
      </x:c>
      <x:c r="D392" s="26" t="n">
        <x:f>'500件商品'!F392</x:f>
        <x:v>44</x:v>
      </x:c>
      <x:c r="E392" s="24" t="str">
        <x:f>'500件商品'!K392</x:f>
        <x:v>否</x:v>
      </x:c>
      <x:c r="F392" s="24" t="str">
        <x:f>'500件商品'!L392</x:f>
      </x:c>
      <x:c r="G392" s="28" t="n">
        <x:f>'500件商品'!M392</x:f>
        <x:v>1</x:v>
      </x:c>
      <x:c r="H392" s="24" t="str">
        <x:f>'500件商品'!P392</x:f>
        <x:v>是</x:v>
      </x:c>
      <x:c r="I392" s="26" t="n">
        <x:f>'500件商品'!N392</x:f>
        <x:v>239</x:v>
      </x:c>
      <x:c r="J392" s="26" t="n">
        <x:f>'500件商品'!O392</x:f>
        <x:v>24</x:v>
      </x:c>
      <x:c r="K392" s="26" t="n">
        <x:f>IF(H392="是",CEILING(I392/J392,1),0)</x:f>
        <x:v>10</x:v>
      </x:c>
      <x:c r="L392" s="26" t="n">
        <x:f>ROUND(I392*G392,0)</x:f>
        <x:v>239</x:v>
      </x:c>
      <x:c r="M392" s="26" t="n">
        <x:f>IF(H392="是",CEILING(L392/J392,1),0)</x:f>
        <x:v>10</x:v>
      </x:c>
      <x:c r="N392" s="26" t="n">
        <x:f>M392-K392</x:f>
        <x:v>0</x:v>
      </x:c>
      <x:c r="O392" s="24" t="str">
        <x:f>'500件商品'!Q392</x:f>
        <x:v>K區</x:v>
      </x:c>
      <x:c r="P392" s="26" t="n">
        <x:f>'500件商品'!R392</x:f>
        <x:v>58</x:v>
      </x:c>
      <x:c r="Q392" s="24" t="str">
        <x:f>IF(H392="否","非棧板管理",IF(AND(E392="是",N392&gt;0),"季節彈性前移區",IF(OR(C392="Cluster 3",D392&gt;=55),"近端低層棧板區",IF(C392="Cluster 2","中段大貨位",IF(C392="Cluster 4","遠端彈性儲位","中段棧板區")))))</x:f>
        <x:v>中段大貨位</x:v>
      </x:c>
      <x:c r="R392" s="24" t="str">
        <x:f>IF(AND(H392="是",E392="是",N392&gt;0),"是","否")</x:f>
        <x:v>否</x:v>
      </x:c>
      <x:c r="S392" s="24" t="str">
        <x:f>IF(H392="否","非本次棧板儲位分析對象",IF(R392="是","旺季前需前移並增加棧板位",IF(N392&gt;0,"需增加棧板位",IF(N392&lt;0,"可釋放部分棧板位","維持現況"))))</x:f>
        <x:v>維持現況</x:v>
      </x:c>
    </x:row>
    <x:row r="393">
      <x:c r="A393" s="24" t="str">
        <x:f>'500件商品'!A393</x:f>
        <x:v>PX0389</x:v>
      </x:c>
      <x:c r="B393" s="24" t="str">
        <x:f>'500件商品'!B393</x:f>
        <x:v>端午禮盒-小包裝</x:v>
      </x:c>
      <x:c r="C393" s="24" t="str">
        <x:f>'500件商品'!D393</x:f>
        <x:v>Cluster 4</x:v>
      </x:c>
      <x:c r="D393" s="26" t="n">
        <x:f>'500件商品'!F393</x:f>
        <x:v>6</x:v>
      </x:c>
      <x:c r="E393" s="24" t="str">
        <x:f>'500件商品'!K393</x:f>
        <x:v>是</x:v>
      </x:c>
      <x:c r="F393" s="24" t="str">
        <x:f>'500件商品'!L393</x:f>
        <x:v>1-2月</x:v>
      </x:c>
      <x:c r="G393" s="28" t="n">
        <x:f>'500件商品'!M393</x:f>
        <x:v>3</x:v>
      </x:c>
      <x:c r="H393" s="24" t="str">
        <x:f>'500件商品'!P393</x:f>
        <x:v>是</x:v>
      </x:c>
      <x:c r="I393" s="26" t="n">
        <x:f>'500件商品'!N393</x:f>
        <x:v>52</x:v>
      </x:c>
      <x:c r="J393" s="26" t="n">
        <x:f>'500件商品'!O393</x:f>
        <x:v>18</x:v>
      </x:c>
      <x:c r="K393" s="26" t="n">
        <x:f>IF(H393="是",CEILING(I393/J393,1),0)</x:f>
        <x:v>3</x:v>
      </x:c>
      <x:c r="L393" s="26" t="n">
        <x:f>ROUND(I393*G393,0)</x:f>
        <x:v>156</x:v>
      </x:c>
      <x:c r="M393" s="26" t="n">
        <x:f>IF(H393="是",CEILING(L393/J393,1),0)</x:f>
        <x:v>9</x:v>
      </x:c>
      <x:c r="N393" s="26" t="n">
        <x:f>M393-K393</x:f>
        <x:v>6</x:v>
      </x:c>
      <x:c r="O393" s="24" t="str">
        <x:f>'500件商品'!Q393</x:f>
        <x:v>1區</x:v>
      </x:c>
      <x:c r="P393" s="26" t="n">
        <x:f>'500件商品'!R393</x:f>
        <x:v>27</x:v>
      </x:c>
      <x:c r="Q393" s="24" t="str">
        <x:f>IF(H393="否","非棧板管理",IF(AND(E393="是",N393&gt;0),"季節彈性前移區",IF(OR(C393="Cluster 3",D393&gt;=55),"近端低層棧板區",IF(C393="Cluster 2","中段大貨位",IF(C393="Cluster 4","遠端彈性儲位","中段棧板區")))))</x:f>
        <x:v>季節彈性前移區</x:v>
      </x:c>
      <x:c r="R393" s="24" t="str">
        <x:f>IF(AND(H393="是",E393="是",N393&gt;0),"是","否")</x:f>
        <x:v>是</x:v>
      </x:c>
      <x:c r="S393" s="24" t="str">
        <x:f>IF(H393="否","非本次棧板儲位分析對象",IF(R393="是","旺季前需前移並增加棧板位",IF(N393&gt;0,"需增加棧板位",IF(N393&lt;0,"可釋放部分棧板位","維持現況"))))</x:f>
        <x:v>旺季前需前移並增加棧板位</x:v>
      </x:c>
    </x:row>
    <x:row r="394">
      <x:c r="A394" s="24" t="str">
        <x:f>'500件商品'!A394</x:f>
        <x:v>PX0390</x:v>
      </x:c>
      <x:c r="B394" s="24" t="str">
        <x:f>'500件商品'!B394</x:f>
        <x:v>成人紙尿褲-補充包</x:v>
      </x:c>
      <x:c r="C394" s="24" t="str">
        <x:f>'500件商品'!D394</x:f>
        <x:v>Cluster 2</x:v>
      </x:c>
      <x:c r="D394" s="26" t="n">
        <x:f>'500件商品'!F394</x:f>
        <x:v>52</x:v>
      </x:c>
      <x:c r="E394" s="24" t="str">
        <x:f>'500件商品'!K394</x:f>
        <x:v>否</x:v>
      </x:c>
      <x:c r="F394" s="24" t="str">
        <x:f>'500件商品'!L394</x:f>
      </x:c>
      <x:c r="G394" s="28" t="n">
        <x:f>'500件商品'!M394</x:f>
        <x:v>1</x:v>
      </x:c>
      <x:c r="H394" s="24" t="str">
        <x:f>'500件商品'!P394</x:f>
        <x:v>是</x:v>
      </x:c>
      <x:c r="I394" s="26" t="n">
        <x:f>'500件商品'!N394</x:f>
        <x:v>170</x:v>
      </x:c>
      <x:c r="J394" s="26" t="n">
        <x:f>'500件商品'!O394</x:f>
        <x:v>20</x:v>
      </x:c>
      <x:c r="K394" s="26" t="n">
        <x:f>IF(H394="是",CEILING(I394/J394,1),0)</x:f>
        <x:v>9</x:v>
      </x:c>
      <x:c r="L394" s="26" t="n">
        <x:f>ROUND(I394*G394,0)</x:f>
        <x:v>170</x:v>
      </x:c>
      <x:c r="M394" s="26" t="n">
        <x:f>IF(H394="是",CEILING(L394/J394,1),0)</x:f>
        <x:v>9</x:v>
      </x:c>
      <x:c r="N394" s="26" t="n">
        <x:f>M394-K394</x:f>
        <x:v>0</x:v>
      </x:c>
      <x:c r="O394" s="24" t="str">
        <x:f>'500件商品'!Q394</x:f>
        <x:v>K區</x:v>
      </x:c>
      <x:c r="P394" s="26" t="n">
        <x:f>'500件商品'!R394</x:f>
        <x:v>42</x:v>
      </x:c>
      <x:c r="Q394" s="24" t="str">
        <x:f>IF(H394="否","非棧板管理",IF(AND(E394="是",N394&gt;0),"季節彈性前移區",IF(OR(C394="Cluster 3",D394&gt;=55),"近端低層棧板區",IF(C394="Cluster 2","中段大貨位",IF(C394="Cluster 4","遠端彈性儲位","中段棧板區")))))</x:f>
        <x:v>中段大貨位</x:v>
      </x:c>
      <x:c r="R394" s="24" t="str">
        <x:f>IF(AND(H394="是",E394="是",N394&gt;0),"是","否")</x:f>
        <x:v>否</x:v>
      </x:c>
      <x:c r="S394" s="24" t="str">
        <x:f>IF(H394="否","非本次棧板儲位分析對象",IF(R394="是","旺季前需前移並增加棧板位",IF(N394&gt;0,"需增加棧板位",IF(N394&lt;0,"可釋放部分棧板位","維持現況"))))</x:f>
        <x:v>維持現況</x:v>
      </x:c>
    </x:row>
    <x:row r="395">
      <x:c r="A395" s="24" t="str">
        <x:f>'500件商品'!A395</x:f>
        <x:v>PX0391</x:v>
      </x:c>
      <x:c r="B395" s="24" t="str">
        <x:f>'500件商品'!B395</x:f>
        <x:v>家庭號礦泉水-家庭號</x:v>
      </x:c>
      <x:c r="C395" s="24" t="str">
        <x:f>'500件商品'!D395</x:f>
        <x:v>Cluster 2</x:v>
      </x:c>
      <x:c r="D395" s="26" t="n">
        <x:f>'500件商品'!F395</x:f>
        <x:v>39</x:v>
      </x:c>
      <x:c r="E395" s="24" t="str">
        <x:f>'500件商品'!K395</x:f>
        <x:v>否</x:v>
      </x:c>
      <x:c r="F395" s="24" t="str">
        <x:f>'500件商品'!L395</x:f>
      </x:c>
      <x:c r="G395" s="28" t="n">
        <x:f>'500件商品'!M395</x:f>
        <x:v>1.2</x:v>
      </x:c>
      <x:c r="H395" s="24" t="str">
        <x:f>'500件商品'!P395</x:f>
        <x:v>是</x:v>
      </x:c>
      <x:c r="I395" s="26" t="n">
        <x:f>'500件商品'!N395</x:f>
        <x:v>289</x:v>
      </x:c>
      <x:c r="J395" s="26" t="n">
        <x:f>'500件商品'!O395</x:f>
        <x:v>36</x:v>
      </x:c>
      <x:c r="K395" s="26" t="n">
        <x:f>IF(H395="是",CEILING(I395/J395,1),0)</x:f>
        <x:v>9</x:v>
      </x:c>
      <x:c r="L395" s="26" t="n">
        <x:f>ROUND(I395*G395,0)</x:f>
        <x:v>347</x:v>
      </x:c>
      <x:c r="M395" s="26" t="n">
        <x:f>IF(H395="是",CEILING(L395/J395,1),0)</x:f>
        <x:v>10</x:v>
      </x:c>
      <x:c r="N395" s="26" t="n">
        <x:f>M395-K395</x:f>
        <x:v>1</x:v>
      </x:c>
      <x:c r="O395" s="24" t="str">
        <x:f>'500件商品'!Q395</x:f>
        <x:v>A區</x:v>
      </x:c>
      <x:c r="P395" s="26" t="n">
        <x:f>'500件商品'!R395</x:f>
        <x:v>30</x:v>
      </x:c>
      <x:c r="Q395" s="24" t="str">
        <x:f>IF(H395="否","非棧板管理",IF(AND(E395="是",N395&gt;0),"季節彈性前移區",IF(OR(C395="Cluster 3",D395&gt;=55),"近端低層棧板區",IF(C395="Cluster 2","中段大貨位",IF(C395="Cluster 4","遠端彈性儲位","中段棧板區")))))</x:f>
        <x:v>中段大貨位</x:v>
      </x:c>
      <x:c r="R395" s="24" t="str">
        <x:f>IF(AND(H395="是",E395="是",N395&gt;0),"是","否")</x:f>
        <x:v>否</x:v>
      </x:c>
      <x:c r="S395" s="24" t="str">
        <x:f>IF(H395="否","非本次棧板儲位分析對象",IF(R395="是","旺季前需前移並增加棧板位",IF(N395&gt;0,"需增加棧板位",IF(N395&lt;0,"可釋放部分棧板位","維持現況"))))</x:f>
        <x:v>需增加棧板位</x:v>
      </x:c>
    </x:row>
    <x:row r="396">
      <x:c r="A396" s="24" t="str">
        <x:f>'500件商品'!A396</x:f>
        <x:v>PX0392</x:v>
      </x:c>
      <x:c r="B396" s="24" t="str">
        <x:f>'500件商品'!B396</x:f>
        <x:v>白米3kg-小包裝</x:v>
      </x:c>
      <x:c r="C396" s="24" t="str">
        <x:f>'500件商品'!D396</x:f>
        <x:v>Cluster 5</x:v>
      </x:c>
      <x:c r="D396" s="26" t="n">
        <x:f>'500件商品'!F396</x:f>
        <x:v>23</x:v>
      </x:c>
      <x:c r="E396" s="24" t="str">
        <x:f>'500件商品'!K396</x:f>
        <x:v>否</x:v>
      </x:c>
      <x:c r="F396" s="24" t="str">
        <x:f>'500件商品'!L396</x:f>
      </x:c>
      <x:c r="G396" s="28" t="n">
        <x:f>'500件商品'!M396</x:f>
        <x:v>1</x:v>
      </x:c>
      <x:c r="H396" s="24" t="str">
        <x:f>'500件商品'!P396</x:f>
        <x:v>是</x:v>
      </x:c>
      <x:c r="I396" s="26" t="n">
        <x:f>'500件商品'!N396</x:f>
        <x:v>107</x:v>
      </x:c>
      <x:c r="J396" s="26" t="n">
        <x:f>'500件商品'!O396</x:f>
        <x:v>36</x:v>
      </x:c>
      <x:c r="K396" s="26" t="n">
        <x:f>IF(H396="是",CEILING(I396/J396,1),0)</x:f>
        <x:v>3</x:v>
      </x:c>
      <x:c r="L396" s="26" t="n">
        <x:f>ROUND(I396*G396,0)</x:f>
        <x:v>107</x:v>
      </x:c>
      <x:c r="M396" s="26" t="n">
        <x:f>IF(H396="是",CEILING(L396/J396,1),0)</x:f>
        <x:v>3</x:v>
      </x:c>
      <x:c r="N396" s="26" t="n">
        <x:f>M396-K396</x:f>
        <x:v>0</x:v>
      </x:c>
      <x:c r="O396" s="24" t="str">
        <x:f>'500件商品'!Q396</x:f>
        <x:v>1區</x:v>
      </x:c>
      <x:c r="P396" s="26" t="n">
        <x:f>'500件商品'!R396</x:f>
        <x:v>36</x:v>
      </x:c>
      <x:c r="Q396" s="24" t="str">
        <x:f>IF(H396="否","非棧板管理",IF(AND(E396="是",N396&gt;0),"季節彈性前移區",IF(OR(C396="Cluster 3",D396&gt;=55),"近端低層棧板區",IF(C396="Cluster 2","中段大貨位",IF(C396="Cluster 4","遠端彈性儲位","中段棧板區")))))</x:f>
        <x:v>中段棧板區</x:v>
      </x:c>
      <x:c r="R396" s="24" t="str">
        <x:f>IF(AND(H396="是",E396="是",N396&gt;0),"是","否")</x:f>
        <x:v>否</x:v>
      </x:c>
      <x:c r="S396" s="24" t="str">
        <x:f>IF(H396="否","非本次棧板儲位分析對象",IF(R396="是","旺季前需前移並增加棧板位",IF(N396&gt;0,"需增加棧板位",IF(N396&lt;0,"可釋放部分棧板位","維持現況"))))</x:f>
        <x:v>維持現況</x:v>
      </x:c>
    </x:row>
    <x:row r="397">
      <x:c r="A397" s="24" t="str">
        <x:f>'500件商品'!A397</x:f>
        <x:v>PX0393</x:v>
      </x:c>
      <x:c r="B397" s="24" t="str">
        <x:f>'500件商品'!B397</x:f>
        <x:v>雨衣組-促銷組</x:v>
      </x:c>
      <x:c r="C397" s="24" t="str">
        <x:f>'500件商品'!D397</x:f>
        <x:v>Cluster 4</x:v>
      </x:c>
      <x:c r="D397" s="26" t="n">
        <x:f>'500件商品'!F397</x:f>
        <x:v>9</x:v>
      </x:c>
      <x:c r="E397" s="24" t="str">
        <x:f>'500件商品'!K397</x:f>
        <x:v>是</x:v>
      </x:c>
      <x:c r="F397" s="24" t="str">
        <x:f>'500件商品'!L397</x:f>
        <x:v>5-8月</x:v>
      </x:c>
      <x:c r="G397" s="28" t="n">
        <x:f>'500件商品'!M397</x:f>
        <x:v>2</x:v>
      </x:c>
      <x:c r="H397" s="24" t="str">
        <x:f>'500件商品'!P397</x:f>
        <x:v>否</x:v>
      </x:c>
      <x:c r="I397" s="26" t="n">
        <x:f>'500件商品'!N397</x:f>
        <x:v>138</x:v>
      </x:c>
      <x:c r="J397" s="26" t="str">
        <x:f>'500件商品'!O397</x:f>
      </x:c>
      <x:c r="K397" s="26" t="n">
        <x:f>IF(H397="是",CEILING(I397/J397,1),0)</x:f>
        <x:v>0</x:v>
      </x:c>
      <x:c r="L397" s="26" t="n">
        <x:f>ROUND(I397*G397,0)</x:f>
        <x:v>276</x:v>
      </x:c>
      <x:c r="M397" s="26" t="n">
        <x:f>IF(H397="是",CEILING(L397/J397,1),0)</x:f>
        <x:v>0</x:v>
      </x:c>
      <x:c r="N397" s="26" t="n">
        <x:f>M397-K397</x:f>
        <x:v>0</x:v>
      </x:c>
      <x:c r="O397" s="24" t="str">
        <x:f>'500件商品'!Q397</x:f>
        <x:v>遠端區</x:v>
      </x:c>
      <x:c r="P397" s="26" t="n">
        <x:f>'500件商品'!R397</x:f>
        <x:v>73</x:v>
      </x:c>
      <x:c r="Q397" s="24" t="str">
        <x:f>IF(H397="否","非棧板管理",IF(AND(E397="是",N397&gt;0),"季節彈性前移區",IF(OR(C397="Cluster 3",D397&gt;=55),"近端低層棧板區",IF(C397="Cluster 2","中段大貨位",IF(C397="Cluster 4","遠端彈性儲位","中段棧板區")))))</x:f>
        <x:v>非棧板管理</x:v>
      </x:c>
      <x:c r="R397" s="24" t="str">
        <x:f>IF(AND(H397="是",E397="是",N397&gt;0),"是","否")</x:f>
        <x:v>否</x:v>
      </x:c>
      <x:c r="S397" s="24" t="str">
        <x:f>IF(H397="否","非本次棧板儲位分析對象",IF(R397="是","旺季前需前移並增加棧板位",IF(N397&gt;0,"需增加棧板位",IF(N397&lt;0,"可釋放部分棧板位","維持現況"))))</x:f>
        <x:v>非本次棧板儲位分析對象</x:v>
      </x:c>
    </x:row>
    <x:row r="398">
      <x:c r="A398" s="24" t="str">
        <x:f>'500件商品'!A398</x:f>
        <x:v>PX0394</x:v>
      </x:c>
      <x:c r="B398" s="24" t="str">
        <x:f>'500件商品'!B398</x:f>
        <x:v>寵物尿布墊-補充包</x:v>
      </x:c>
      <x:c r="C398" s="24" t="str">
        <x:f>'500件商品'!D398</x:f>
        <x:v>Cluster 2</x:v>
      </x:c>
      <x:c r="D398" s="26" t="n">
        <x:f>'500件商品'!F398</x:f>
        <x:v>30</x:v>
      </x:c>
      <x:c r="E398" s="24" t="str">
        <x:f>'500件商品'!K398</x:f>
        <x:v>否</x:v>
      </x:c>
      <x:c r="F398" s="24" t="str">
        <x:f>'500件商品'!L398</x:f>
      </x:c>
      <x:c r="G398" s="28" t="n">
        <x:f>'500件商品'!M398</x:f>
        <x:v>1</x:v>
      </x:c>
      <x:c r="H398" s="24" t="str">
        <x:f>'500件商品'!P398</x:f>
        <x:v>是</x:v>
      </x:c>
      <x:c r="I398" s="26" t="n">
        <x:f>'500件商品'!N398</x:f>
        <x:v>165</x:v>
      </x:c>
      <x:c r="J398" s="26" t="n">
        <x:f>'500件商品'!O398</x:f>
        <x:v>30</x:v>
      </x:c>
      <x:c r="K398" s="26" t="n">
        <x:f>IF(H398="是",CEILING(I398/J398,1),0)</x:f>
        <x:v>6</x:v>
      </x:c>
      <x:c r="L398" s="26" t="n">
        <x:f>ROUND(I398*G398,0)</x:f>
        <x:v>165</x:v>
      </x:c>
      <x:c r="M398" s="26" t="n">
        <x:f>IF(H398="是",CEILING(L398/J398,1),0)</x:f>
        <x:v>6</x:v>
      </x:c>
      <x:c r="N398" s="26" t="n">
        <x:f>M398-K398</x:f>
        <x:v>0</x:v>
      </x:c>
      <x:c r="O398" s="24" t="str">
        <x:f>'500件商品'!Q398</x:f>
        <x:v>3區</x:v>
      </x:c>
      <x:c r="P398" s="26" t="n">
        <x:f>'500件商品'!R398</x:f>
        <x:v>46</x:v>
      </x:c>
      <x:c r="Q398" s="24" t="str">
        <x:f>IF(H398="否","非棧板管理",IF(AND(E398="是",N398&gt;0),"季節彈性前移區",IF(OR(C398="Cluster 3",D398&gt;=55),"近端低層棧板區",IF(C398="Cluster 2","中段大貨位",IF(C398="Cluster 4","遠端彈性儲位","中段棧板區")))))</x:f>
        <x:v>中段大貨位</x:v>
      </x:c>
      <x:c r="R398" s="24" t="str">
        <x:f>IF(AND(H398="是",E398="是",N398&gt;0),"是","否")</x:f>
        <x:v>否</x:v>
      </x:c>
      <x:c r="S398" s="24" t="str">
        <x:f>IF(H398="否","非本次棧板儲位分析對象",IF(R398="是","旺季前需前移並增加棧板位",IF(N398&gt;0,"需增加棧板位",IF(N398&lt;0,"可釋放部分棧板位","維持現況"))))</x:f>
        <x:v>維持現況</x:v>
      </x:c>
    </x:row>
    <x:row r="399">
      <x:c r="A399" s="24" t="str">
        <x:f>'500件商品'!A399</x:f>
        <x:v>PX0395</x:v>
      </x:c>
      <x:c r="B399" s="24" t="str">
        <x:f>'500件商品'!B399</x:f>
        <x:v>標籤紙卷-標準箱</x:v>
      </x:c>
      <x:c r="C399" s="24" t="str">
        <x:f>'500件商品'!D399</x:f>
        <x:v>Cluster 5</x:v>
      </x:c>
      <x:c r="D399" s="26" t="n">
        <x:f>'500件商品'!F399</x:f>
        <x:v>41</x:v>
      </x:c>
      <x:c r="E399" s="24" t="str">
        <x:f>'500件商品'!K399</x:f>
        <x:v>否</x:v>
      </x:c>
      <x:c r="F399" s="24" t="str">
        <x:f>'500件商品'!L399</x:f>
      </x:c>
      <x:c r="G399" s="28" t="n">
        <x:f>'500件商品'!M399</x:f>
        <x:v>1</x:v>
      </x:c>
      <x:c r="H399" s="24" t="str">
        <x:f>'500件商品'!P399</x:f>
        <x:v>是</x:v>
      </x:c>
      <x:c r="I399" s="26" t="n">
        <x:f>'500件商品'!N399</x:f>
        <x:v>205</x:v>
      </x:c>
      <x:c r="J399" s="26" t="n">
        <x:f>'500件商品'!O399</x:f>
        <x:v>48</x:v>
      </x:c>
      <x:c r="K399" s="26" t="n">
        <x:f>IF(H399="是",CEILING(I399/J399,1),0)</x:f>
        <x:v>5</x:v>
      </x:c>
      <x:c r="L399" s="26" t="n">
        <x:f>ROUND(I399*G399,0)</x:f>
        <x:v>205</x:v>
      </x:c>
      <x:c r="M399" s="26" t="n">
        <x:f>IF(H399="是",CEILING(L399/J399,1),0)</x:f>
        <x:v>5</x:v>
      </x:c>
      <x:c r="N399" s="26" t="n">
        <x:f>M399-K399</x:f>
        <x:v>0</x:v>
      </x:c>
      <x:c r="O399" s="24" t="str">
        <x:f>'500件商品'!Q399</x:f>
        <x:v>遠端區</x:v>
      </x:c>
      <x:c r="P399" s="26" t="n">
        <x:f>'500件商品'!R399</x:f>
        <x:v>61</x:v>
      </x:c>
      <x:c r="Q399" s="24" t="str">
        <x:f>IF(H399="否","非棧板管理",IF(AND(E399="是",N399&gt;0),"季節彈性前移區",IF(OR(C399="Cluster 3",D399&gt;=55),"近端低層棧板區",IF(C399="Cluster 2","中段大貨位",IF(C399="Cluster 4","遠端彈性儲位","中段棧板區")))))</x:f>
        <x:v>中段棧板區</x:v>
      </x:c>
      <x:c r="R399" s="24" t="str">
        <x:f>IF(AND(H399="是",E399="是",N399&gt;0),"是","否")</x:f>
        <x:v>否</x:v>
      </x:c>
      <x:c r="S399" s="24" t="str">
        <x:f>IF(H399="否","非本次棧板儲位分析對象",IF(R399="是","旺季前需前移並增加棧板位",IF(N399&gt;0,"需增加棧板位",IF(N399&lt;0,"可釋放部分棧板位","維持現況"))))</x:f>
        <x:v>維持現況</x:v>
      </x:c>
    </x:row>
    <x:row r="400">
      <x:c r="A400" s="24" t="str">
        <x:f>'500件商品'!A400</x:f>
        <x:v>PX0396</x:v>
      </x:c>
      <x:c r="B400" s="24" t="str">
        <x:f>'500件商品'!B400</x:f>
        <x:v>寵物罐頭箱-促銷組</x:v>
      </x:c>
      <x:c r="C400" s="24" t="str">
        <x:f>'500件商品'!D400</x:f>
        <x:v>Cluster 5</x:v>
      </x:c>
      <x:c r="D400" s="26" t="n">
        <x:f>'500件商品'!F400</x:f>
        <x:v>17</x:v>
      </x:c>
      <x:c r="E400" s="24" t="str">
        <x:f>'500件商品'!K400</x:f>
        <x:v>否</x:v>
      </x:c>
      <x:c r="F400" s="24" t="str">
        <x:f>'500件商品'!L400</x:f>
      </x:c>
      <x:c r="G400" s="28" t="n">
        <x:f>'500件商品'!M400</x:f>
        <x:v>1</x:v>
      </x:c>
      <x:c r="H400" s="24" t="str">
        <x:f>'500件商品'!P400</x:f>
        <x:v>否</x:v>
      </x:c>
      <x:c r="I400" s="26" t="n">
        <x:f>'500件商品'!N400</x:f>
        <x:v>82</x:v>
      </x:c>
      <x:c r="J400" s="26" t="str">
        <x:f>'500件商品'!O400</x:f>
      </x:c>
      <x:c r="K400" s="26" t="n">
        <x:f>IF(H400="是",CEILING(I400/J400,1),0)</x:f>
        <x:v>0</x:v>
      </x:c>
      <x:c r="L400" s="26" t="n">
        <x:f>ROUND(I400*G400,0)</x:f>
        <x:v>82</x:v>
      </x:c>
      <x:c r="M400" s="26" t="n">
        <x:f>IF(H400="是",CEILING(L400/J400,1),0)</x:f>
        <x:v>0</x:v>
      </x:c>
      <x:c r="N400" s="26" t="n">
        <x:f>M400-K400</x:f>
        <x:v>0</x:v>
      </x:c>
      <x:c r="O400" s="24" t="str">
        <x:f>'500件商品'!Q400</x:f>
        <x:v>K區</x:v>
      </x:c>
      <x:c r="P400" s="26" t="n">
        <x:f>'500件商品'!R400</x:f>
        <x:v>57</x:v>
      </x:c>
      <x:c r="Q400" s="24" t="str">
        <x:f>IF(H400="否","非棧板管理",IF(AND(E400="是",N400&gt;0),"季節彈性前移區",IF(OR(C400="Cluster 3",D400&gt;=55),"近端低層棧板區",IF(C400="Cluster 2","中段大貨位",IF(C400="Cluster 4","遠端彈性儲位","中段棧板區")))))</x:f>
        <x:v>非棧板管理</x:v>
      </x:c>
      <x:c r="R400" s="24" t="str">
        <x:f>IF(AND(H400="是",E400="是",N400&gt;0),"是","否")</x:f>
        <x:v>否</x:v>
      </x:c>
      <x:c r="S400" s="24" t="str">
        <x:f>IF(H400="否","非本次棧板儲位分析對象",IF(R400="是","旺季前需前移並增加棧板位",IF(N400&gt;0,"需增加棧板位",IF(N400&lt;0,"可釋放部分棧板位","維持現況"))))</x:f>
        <x:v>非本次棧板儲位分析對象</x:v>
      </x:c>
    </x:row>
    <x:row r="401">
      <x:c r="A401" s="24" t="str">
        <x:f>'500件商品'!A401</x:f>
        <x:v>PX0397</x:v>
      </x:c>
      <x:c r="B401" s="24" t="str">
        <x:f>'500件商品'!B401</x:f>
        <x:v>寵物尿布墊-促銷組</x:v>
      </x:c>
      <x:c r="C401" s="24" t="str">
        <x:f>'500件商品'!D401</x:f>
        <x:v>Cluster 2</x:v>
      </x:c>
      <x:c r="D401" s="26" t="n">
        <x:f>'500件商品'!F401</x:f>
        <x:v>84</x:v>
      </x:c>
      <x:c r="E401" s="24" t="str">
        <x:f>'500件商品'!K401</x:f>
        <x:v>否</x:v>
      </x:c>
      <x:c r="F401" s="24" t="str">
        <x:f>'500件商品'!L401</x:f>
      </x:c>
      <x:c r="G401" s="28" t="n">
        <x:f>'500件商品'!M401</x:f>
        <x:v>1.1</x:v>
      </x:c>
      <x:c r="H401" s="24" t="str">
        <x:f>'500件商品'!P401</x:f>
        <x:v>是</x:v>
      </x:c>
      <x:c r="I401" s="26" t="n">
        <x:f>'500件商品'!N401</x:f>
        <x:v>566</x:v>
      </x:c>
      <x:c r="J401" s="26" t="n">
        <x:f>'500件商品'!O401</x:f>
        <x:v>30</x:v>
      </x:c>
      <x:c r="K401" s="26" t="n">
        <x:f>IF(H401="是",CEILING(I401/J401,1),0)</x:f>
        <x:v>19</x:v>
      </x:c>
      <x:c r="L401" s="26" t="n">
        <x:f>ROUND(I401*G401,0)</x:f>
        <x:v>623</x:v>
      </x:c>
      <x:c r="M401" s="26" t="n">
        <x:f>IF(H401="是",CEILING(L401/J401,1),0)</x:f>
        <x:v>21</x:v>
      </x:c>
      <x:c r="N401" s="26" t="n">
        <x:f>M401-K401</x:f>
        <x:v>2</x:v>
      </x:c>
      <x:c r="O401" s="24" t="str">
        <x:f>'500件商品'!Q401</x:f>
        <x:v>K區</x:v>
      </x:c>
      <x:c r="P401" s="26" t="n">
        <x:f>'500件商品'!R401</x:f>
        <x:v>53</x:v>
      </x:c>
      <x:c r="Q401" s="24" t="str">
        <x:f>IF(H401="否","非棧板管理",IF(AND(E401="是",N401&gt;0),"季節彈性前移區",IF(OR(C401="Cluster 3",D401&gt;=55),"近端低層棧板區",IF(C401="Cluster 2","中段大貨位",IF(C401="Cluster 4","遠端彈性儲位","中段棧板區")))))</x:f>
        <x:v>近端低層棧板區</x:v>
      </x:c>
      <x:c r="R401" s="24" t="str">
        <x:f>IF(AND(H401="是",E401="是",N401&gt;0),"是","否")</x:f>
        <x:v>否</x:v>
      </x:c>
      <x:c r="S401" s="24" t="str">
        <x:f>IF(H401="否","非本次棧板儲位分析對象",IF(R401="是","旺季前需前移並增加棧板位",IF(N401&gt;0,"需增加棧板位",IF(N401&lt;0,"可釋放部分棧板位","維持現況"))))</x:f>
        <x:v>需增加棧板位</x:v>
      </x:c>
    </x:row>
    <x:row r="402">
      <x:c r="A402" s="24" t="str">
        <x:f>'500件商品'!A402</x:f>
        <x:v>PX0398</x:v>
      </x:c>
      <x:c r="B402" s="24" t="str">
        <x:f>'500件商品'!B402</x:f>
        <x:v>捲筒衛生紙-標準箱</x:v>
      </x:c>
      <x:c r="C402" s="24" t="str">
        <x:f>'500件商品'!D402</x:f>
        <x:v>Cluster 2</x:v>
      </x:c>
      <x:c r="D402" s="26" t="n">
        <x:f>'500件商品'!F402</x:f>
        <x:v>13</x:v>
      </x:c>
      <x:c r="E402" s="24" t="str">
        <x:f>'500件商品'!K402</x:f>
        <x:v>否</x:v>
      </x:c>
      <x:c r="F402" s="24" t="str">
        <x:f>'500件商品'!L402</x:f>
      </x:c>
      <x:c r="G402" s="28" t="n">
        <x:f>'500件商品'!M402</x:f>
        <x:v>1</x:v>
      </x:c>
      <x:c r="H402" s="24" t="str">
        <x:f>'500件商品'!P402</x:f>
        <x:v>是</x:v>
      </x:c>
      <x:c r="I402" s="26" t="n">
        <x:f>'500件商品'!N402</x:f>
        <x:v>43</x:v>
      </x:c>
      <x:c r="J402" s="26" t="n">
        <x:f>'500件商品'!O402</x:f>
        <x:v>30</x:v>
      </x:c>
      <x:c r="K402" s="26" t="n">
        <x:f>IF(H402="是",CEILING(I402/J402,1),0)</x:f>
        <x:v>2</x:v>
      </x:c>
      <x:c r="L402" s="26" t="n">
        <x:f>ROUND(I402*G402,0)</x:f>
        <x:v>43</x:v>
      </x:c>
      <x:c r="M402" s="26" t="n">
        <x:f>IF(H402="是",CEILING(L402/J402,1),0)</x:f>
        <x:v>2</x:v>
      </x:c>
      <x:c r="N402" s="26" t="n">
        <x:f>M402-K402</x:f>
        <x:v>0</x:v>
      </x:c>
      <x:c r="O402" s="24" t="str">
        <x:f>'500件商品'!Q402</x:f>
        <x:v>彈性區</x:v>
      </x:c>
      <x:c r="P402" s="26" t="n">
        <x:f>'500件商品'!R402</x:f>
        <x:v>60</x:v>
      </x:c>
      <x:c r="Q402" s="24" t="str">
        <x:f>IF(H402="否","非棧板管理",IF(AND(E402="是",N402&gt;0),"季節彈性前移區",IF(OR(C402="Cluster 3",D402&gt;=55),"近端低層棧板區",IF(C402="Cluster 2","中段大貨位",IF(C402="Cluster 4","遠端彈性儲位","中段棧板區")))))</x:f>
        <x:v>中段大貨位</x:v>
      </x:c>
      <x:c r="R402" s="24" t="str">
        <x:f>IF(AND(H402="是",E402="是",N402&gt;0),"是","否")</x:f>
        <x:v>否</x:v>
      </x:c>
      <x:c r="S402" s="24" t="str">
        <x:f>IF(H402="否","非本次棧板儲位分析對象",IF(R402="是","旺季前需前移並增加棧板位",IF(N402&gt;0,"需增加棧板位",IF(N402&lt;0,"可釋放部分棧板位","維持現況"))))</x:f>
        <x:v>維持現況</x:v>
      </x:c>
    </x:row>
    <x:row r="403">
      <x:c r="A403" s="24" t="str">
        <x:f>'500件商品'!A403</x:f>
        <x:v>PX0399</x:v>
      </x:c>
      <x:c r="B403" s="24" t="str">
        <x:f>'500件商品'!B403</x:f>
        <x:v>漂白水-促銷組</x:v>
      </x:c>
      <x:c r="C403" s="24" t="str">
        <x:f>'500件商品'!D403</x:f>
        <x:v>Cluster 2</x:v>
      </x:c>
      <x:c r="D403" s="26" t="n">
        <x:f>'500件商品'!F403</x:f>
        <x:v>42</x:v>
      </x:c>
      <x:c r="E403" s="24" t="str">
        <x:f>'500件商品'!K403</x:f>
        <x:v>否</x:v>
      </x:c>
      <x:c r="F403" s="24" t="str">
        <x:f>'500件商品'!L403</x:f>
      </x:c>
      <x:c r="G403" s="28" t="n">
        <x:f>'500件商品'!M403</x:f>
        <x:v>1.5</x:v>
      </x:c>
      <x:c r="H403" s="24" t="str">
        <x:f>'500件商品'!P403</x:f>
        <x:v>是</x:v>
      </x:c>
      <x:c r="I403" s="26" t="n">
        <x:f>'500件商品'!N403</x:f>
        <x:v>174</x:v>
      </x:c>
      <x:c r="J403" s="26" t="n">
        <x:f>'500件商品'!O403</x:f>
        <x:v>40</x:v>
      </x:c>
      <x:c r="K403" s="26" t="n">
        <x:f>IF(H403="是",CEILING(I403/J403,1),0)</x:f>
        <x:v>5</x:v>
      </x:c>
      <x:c r="L403" s="26" t="n">
        <x:f>ROUND(I403*G403,0)</x:f>
        <x:v>261</x:v>
      </x:c>
      <x:c r="M403" s="26" t="n">
        <x:f>IF(H403="是",CEILING(L403/J403,1),0)</x:f>
        <x:v>7</x:v>
      </x:c>
      <x:c r="N403" s="26" t="n">
        <x:f>M403-K403</x:f>
        <x:v>2</x:v>
      </x:c>
      <x:c r="O403" s="24" t="str">
        <x:f>'500件商品'!Q403</x:f>
        <x:v>A區</x:v>
      </x:c>
      <x:c r="P403" s="26" t="n">
        <x:f>'500件商品'!R403</x:f>
        <x:v>28</x:v>
      </x:c>
      <x:c r="Q403" s="24" t="str">
        <x:f>IF(H403="否","非棧板管理",IF(AND(E403="是",N403&gt;0),"季節彈性前移區",IF(OR(C403="Cluster 3",D403&gt;=55),"近端低層棧板區",IF(C403="Cluster 2","中段大貨位",IF(C403="Cluster 4","遠端彈性儲位","中段棧板區")))))</x:f>
        <x:v>中段大貨位</x:v>
      </x:c>
      <x:c r="R403" s="24" t="str">
        <x:f>IF(AND(H403="是",E403="是",N403&gt;0),"是","否")</x:f>
        <x:v>否</x:v>
      </x:c>
      <x:c r="S403" s="24" t="str">
        <x:f>IF(H403="否","非本次棧板儲位分析對象",IF(R403="是","旺季前需前移並增加棧板位",IF(N403&gt;0,"需增加棧板位",IF(N403&lt;0,"可釋放部分棧板位","維持現況"))))</x:f>
        <x:v>需增加棧板位</x:v>
      </x:c>
    </x:row>
    <x:row r="404">
      <x:c r="A404" s="24" t="str">
        <x:f>'500件商品'!A404</x:f>
        <x:v>PX0400</x:v>
      </x:c>
      <x:c r="B404" s="24" t="str">
        <x:f>'500件商品'!B404</x:f>
        <x:v>碳酸飲料整箱-促銷組</x:v>
      </x:c>
      <x:c r="C404" s="24" t="str">
        <x:f>'500件商品'!D404</x:f>
        <x:v>Cluster 2</x:v>
      </x:c>
      <x:c r="D404" s="26" t="n">
        <x:f>'500件商品'!F404</x:f>
        <x:v>37</x:v>
      </x:c>
      <x:c r="E404" s="24" t="str">
        <x:f>'500件商品'!K404</x:f>
        <x:v>否</x:v>
      </x:c>
      <x:c r="F404" s="24" t="str">
        <x:f>'500件商品'!L404</x:f>
      </x:c>
      <x:c r="G404" s="28" t="n">
        <x:f>'500件商品'!M404</x:f>
        <x:v>1.5</x:v>
      </x:c>
      <x:c r="H404" s="24" t="str">
        <x:f>'500件商品'!P404</x:f>
        <x:v>是</x:v>
      </x:c>
      <x:c r="I404" s="26" t="n">
        <x:f>'500件商品'!N404</x:f>
        <x:v>237</x:v>
      </x:c>
      <x:c r="J404" s="26" t="n">
        <x:f>'500件商品'!O404</x:f>
        <x:v>48</x:v>
      </x:c>
      <x:c r="K404" s="26" t="n">
        <x:f>IF(H404="是",CEILING(I404/J404,1),0)</x:f>
        <x:v>5</x:v>
      </x:c>
      <x:c r="L404" s="26" t="n">
        <x:f>ROUND(I404*G404,0)</x:f>
        <x:v>356</x:v>
      </x:c>
      <x:c r="M404" s="26" t="n">
        <x:f>IF(H404="是",CEILING(L404/J404,1),0)</x:f>
        <x:v>8</x:v>
      </x:c>
      <x:c r="N404" s="26" t="n">
        <x:f>M404-K404</x:f>
        <x:v>3</x:v>
      </x:c>
      <x:c r="O404" s="24" t="str">
        <x:f>'500件商品'!Q404</x:f>
        <x:v>A區</x:v>
      </x:c>
      <x:c r="P404" s="26" t="n">
        <x:f>'500件商品'!R404</x:f>
        <x:v>25</x:v>
      </x:c>
      <x:c r="Q404" s="24" t="str">
        <x:f>IF(H404="否","非棧板管理",IF(AND(E404="是",N404&gt;0),"季節彈性前移區",IF(OR(C404="Cluster 3",D404&gt;=55),"近端低層棧板區",IF(C404="Cluster 2","中段大貨位",IF(C404="Cluster 4","遠端彈性儲位","中段棧板區")))))</x:f>
        <x:v>中段大貨位</x:v>
      </x:c>
      <x:c r="R404" s="24" t="str">
        <x:f>IF(AND(H404="是",E404="是",N404&gt;0),"是","否")</x:f>
        <x:v>否</x:v>
      </x:c>
      <x:c r="S404" s="24" t="str">
        <x:f>IF(H404="否","非本次棧板儲位分析對象",IF(R404="是","旺季前需前移並增加棧板位",IF(N404&gt;0,"需增加棧板位",IF(N404&lt;0,"可釋放部分棧板位","維持現況"))))</x:f>
        <x:v>需增加棧板位</x:v>
      </x:c>
    </x:row>
    <x:row r="405">
      <x:c r="A405" s="24" t="str">
        <x:f>'500件商品'!A405</x:f>
        <x:v>PX0401</x:v>
      </x:c>
      <x:c r="B405" s="24" t="str">
        <x:f>'500件商品'!B405</x:f>
        <x:v>束帶組-標準箱</x:v>
      </x:c>
      <x:c r="C405" s="24" t="str">
        <x:f>'500件商品'!D405</x:f>
        <x:v>Cluster 5</x:v>
      </x:c>
      <x:c r="D405" s="26" t="n">
        <x:f>'500件商品'!F405</x:f>
        <x:v>22</x:v>
      </x:c>
      <x:c r="E405" s="24" t="str">
        <x:f>'500件商品'!K405</x:f>
        <x:v>否</x:v>
      </x:c>
      <x:c r="F405" s="24" t="str">
        <x:f>'500件商品'!L405</x:f>
      </x:c>
      <x:c r="G405" s="28" t="n">
        <x:f>'500件商品'!M405</x:f>
        <x:v>1</x:v>
      </x:c>
      <x:c r="H405" s="24" t="str">
        <x:f>'500件商品'!P405</x:f>
        <x:v>否</x:v>
      </x:c>
      <x:c r="I405" s="26" t="n">
        <x:f>'500件商品'!N405</x:f>
        <x:v>138</x:v>
      </x:c>
      <x:c r="J405" s="26" t="str">
        <x:f>'500件商品'!O405</x:f>
      </x:c>
      <x:c r="K405" s="26" t="n">
        <x:f>IF(H405="是",CEILING(I405/J405,1),0)</x:f>
        <x:v>0</x:v>
      </x:c>
      <x:c r="L405" s="26" t="n">
        <x:f>ROUND(I405*G405,0)</x:f>
        <x:v>138</x:v>
      </x:c>
      <x:c r="M405" s="26" t="n">
        <x:f>IF(H405="是",CEILING(L405/J405,1),0)</x:f>
        <x:v>0</x:v>
      </x:c>
      <x:c r="N405" s="26" t="n">
        <x:f>M405-K405</x:f>
        <x:v>0</x:v>
      </x:c>
      <x:c r="O405" s="24" t="str">
        <x:f>'500件商品'!Q405</x:f>
        <x:v>彈性區</x:v>
      </x:c>
      <x:c r="P405" s="26" t="n">
        <x:f>'500件商品'!R405</x:f>
        <x:v>53</x:v>
      </x:c>
      <x:c r="Q405" s="24" t="str">
        <x:f>IF(H405="否","非棧板管理",IF(AND(E405="是",N405&gt;0),"季節彈性前移區",IF(OR(C405="Cluster 3",D405&gt;=55),"近端低層棧板區",IF(C405="Cluster 2","中段大貨位",IF(C405="Cluster 4","遠端彈性儲位","中段棧板區")))))</x:f>
        <x:v>非棧板管理</x:v>
      </x:c>
      <x:c r="R405" s="24" t="str">
        <x:f>IF(AND(H405="是",E405="是",N405&gt;0),"是","否")</x:f>
        <x:v>否</x:v>
      </x:c>
      <x:c r="S405" s="24" t="str">
        <x:f>IF(H405="否","非本次棧板儲位分析對象",IF(R405="是","旺季前需前移並增加棧板位",IF(N405&gt;0,"需增加棧板位",IF(N405&lt;0,"可釋放部分棧板位","維持現況"))))</x:f>
        <x:v>非本次棧板儲位分析對象</x:v>
      </x:c>
    </x:row>
    <x:row r="406">
      <x:c r="A406" s="24" t="str">
        <x:f>'500件商品'!A406</x:f>
        <x:v>PX0402</x:v>
      </x:c>
      <x:c r="B406" s="24" t="str">
        <x:f>'500件商品'!B406</x:f>
        <x:v>束帶組-補充包</x:v>
      </x:c>
      <x:c r="C406" s="24" t="str">
        <x:f>'500件商品'!D406</x:f>
        <x:v>Cluster 2</x:v>
      </x:c>
      <x:c r="D406" s="26" t="n">
        <x:f>'500件商品'!F406</x:f>
        <x:v>72</x:v>
      </x:c>
      <x:c r="E406" s="24" t="str">
        <x:f>'500件商品'!K406</x:f>
        <x:v>否</x:v>
      </x:c>
      <x:c r="F406" s="24" t="str">
        <x:f>'500件商品'!L406</x:f>
      </x:c>
      <x:c r="G406" s="28" t="n">
        <x:f>'500件商品'!M406</x:f>
        <x:v>1.1</x:v>
      </x:c>
      <x:c r="H406" s="24" t="str">
        <x:f>'500件商品'!P406</x:f>
        <x:v>是</x:v>
      </x:c>
      <x:c r="I406" s="26" t="n">
        <x:f>'500件商品'!N406</x:f>
        <x:v>731</x:v>
      </x:c>
      <x:c r="J406" s="26" t="n">
        <x:f>'500件商品'!O406</x:f>
        <x:v>30</x:v>
      </x:c>
      <x:c r="K406" s="26" t="n">
        <x:f>IF(H406="是",CEILING(I406/J406,1),0)</x:f>
        <x:v>25</x:v>
      </x:c>
      <x:c r="L406" s="26" t="n">
        <x:f>ROUND(I406*G406,0)</x:f>
        <x:v>804</x:v>
      </x:c>
      <x:c r="M406" s="26" t="n">
        <x:f>IF(H406="是",CEILING(L406/J406,1),0)</x:f>
        <x:v>27</x:v>
      </x:c>
      <x:c r="N406" s="26" t="n">
        <x:f>M406-K406</x:f>
        <x:v>2</x:v>
      </x:c>
      <x:c r="O406" s="24" t="str">
        <x:f>'500件商品'!Q406</x:f>
        <x:v>3區</x:v>
      </x:c>
      <x:c r="P406" s="26" t="n">
        <x:f>'500件商品'!R406</x:f>
        <x:v>38</x:v>
      </x:c>
      <x:c r="Q406" s="24" t="str">
        <x:f>IF(H406="否","非棧板管理",IF(AND(E406="是",N406&gt;0),"季節彈性前移區",IF(OR(C406="Cluster 3",D406&gt;=55),"近端低層棧板區",IF(C406="Cluster 2","中段大貨位",IF(C406="Cluster 4","遠端彈性儲位","中段棧板區")))))</x:f>
        <x:v>近端低層棧板區</x:v>
      </x:c>
      <x:c r="R406" s="24" t="str">
        <x:f>IF(AND(H406="是",E406="是",N406&gt;0),"是","否")</x:f>
        <x:v>否</x:v>
      </x:c>
      <x:c r="S406" s="24" t="str">
        <x:f>IF(H406="否","非本次棧板儲位分析對象",IF(R406="是","旺季前需前移並增加棧板位",IF(N406&gt;0,"需增加棧板位",IF(N406&lt;0,"可釋放部分棧板位","維持現況"))))</x:f>
        <x:v>需增加棧板位</x:v>
      </x:c>
    </x:row>
    <x:row r="407">
      <x:c r="A407" s="24" t="str">
        <x:f>'500件商品'!A407</x:f>
        <x:v>PX0403</x:v>
      </x:c>
      <x:c r="B407" s="24" t="str">
        <x:f>'500件商品'!B407</x:f>
        <x:v>洗衣精補充包-標準箱</x:v>
      </x:c>
      <x:c r="C407" s="24" t="str">
        <x:f>'500件商品'!D407</x:f>
        <x:v>Cluster 1</x:v>
      </x:c>
      <x:c r="D407" s="26" t="n">
        <x:f>'500件商品'!F407</x:f>
        <x:v>13</x:v>
      </x:c>
      <x:c r="E407" s="24" t="str">
        <x:f>'500件商品'!K407</x:f>
        <x:v>否</x:v>
      </x:c>
      <x:c r="F407" s="24" t="str">
        <x:f>'500件商品'!L407</x:f>
      </x:c>
      <x:c r="G407" s="28" t="n">
        <x:f>'500件商品'!M407</x:f>
        <x:v>1</x:v>
      </x:c>
      <x:c r="H407" s="24" t="str">
        <x:f>'500件商品'!P407</x:f>
        <x:v>是</x:v>
      </x:c>
      <x:c r="I407" s="26" t="n">
        <x:f>'500件商品'!N407</x:f>
        <x:v>109</x:v>
      </x:c>
      <x:c r="J407" s="26" t="n">
        <x:f>'500件商品'!O407</x:f>
        <x:v>72</x:v>
      </x:c>
      <x:c r="K407" s="26" t="n">
        <x:f>IF(H407="是",CEILING(I407/J407,1),0)</x:f>
        <x:v>2</x:v>
      </x:c>
      <x:c r="L407" s="26" t="n">
        <x:f>ROUND(I407*G407,0)</x:f>
        <x:v>109</x:v>
      </x:c>
      <x:c r="M407" s="26" t="n">
        <x:f>IF(H407="是",CEILING(L407/J407,1),0)</x:f>
        <x:v>2</x:v>
      </x:c>
      <x:c r="N407" s="26" t="n">
        <x:f>M407-K407</x:f>
        <x:v>0</x:v>
      </x:c>
      <x:c r="O407" s="24" t="str">
        <x:f>'500件商品'!Q407</x:f>
        <x:v>A區</x:v>
      </x:c>
      <x:c r="P407" s="26" t="n">
        <x:f>'500件商品'!R407</x:f>
        <x:v>25</x:v>
      </x:c>
      <x:c r="Q407" s="24" t="str">
        <x:f>IF(H407="否","非棧板管理",IF(AND(E407="是",N407&gt;0),"季節彈性前移區",IF(OR(C407="Cluster 3",D407&gt;=55),"近端低層棧板區",IF(C407="Cluster 2","中段大貨位",IF(C407="Cluster 4","遠端彈性儲位","中段棧板區")))))</x:f>
        <x:v>中段棧板區</x:v>
      </x:c>
      <x:c r="R407" s="24" t="str">
        <x:f>IF(AND(H407="是",E407="是",N407&gt;0),"是","否")</x:f>
        <x:v>否</x:v>
      </x:c>
      <x:c r="S407" s="24" t="str">
        <x:f>IF(H407="否","非本次棧板儲位分析對象",IF(R407="是","旺季前需前移並增加棧板位",IF(N407&gt;0,"需增加棧板位",IF(N407&lt;0,"可釋放部分棧板位","維持現況"))))</x:f>
        <x:v>維持現況</x:v>
      </x:c>
    </x:row>
    <x:row r="408">
      <x:c r="A408" s="24" t="str">
        <x:f>'500件商品'!A408</x:f>
        <x:v>PX0404</x:v>
      </x:c>
      <x:c r="B408" s="24" t="str">
        <x:f>'500件商品'!B408</x:f>
        <x:v>抽取式衛生紙-補充包</x:v>
      </x:c>
      <x:c r="C408" s="24" t="str">
        <x:f>'500件商品'!D408</x:f>
        <x:v>Cluster 2</x:v>
      </x:c>
      <x:c r="D408" s="26" t="n">
        <x:f>'500件商品'!F408</x:f>
        <x:v>18</x:v>
      </x:c>
      <x:c r="E408" s="24" t="str">
        <x:f>'500件商品'!K408</x:f>
        <x:v>否</x:v>
      </x:c>
      <x:c r="F408" s="24" t="str">
        <x:f>'500件商品'!L408</x:f>
      </x:c>
      <x:c r="G408" s="28" t="n">
        <x:f>'500件商品'!M408</x:f>
        <x:v>1</x:v>
      </x:c>
      <x:c r="H408" s="24" t="str">
        <x:f>'500件商品'!P408</x:f>
        <x:v>是</x:v>
      </x:c>
      <x:c r="I408" s="26" t="n">
        <x:f>'500件商品'!N408</x:f>
        <x:v>117</x:v>
      </x:c>
      <x:c r="J408" s="26" t="n">
        <x:f>'500件商品'!O408</x:f>
        <x:v>30</x:v>
      </x:c>
      <x:c r="K408" s="26" t="n">
        <x:f>IF(H408="是",CEILING(I408/J408,1),0)</x:f>
        <x:v>4</x:v>
      </x:c>
      <x:c r="L408" s="26" t="n">
        <x:f>ROUND(I408*G408,0)</x:f>
        <x:v>117</x:v>
      </x:c>
      <x:c r="M408" s="26" t="n">
        <x:f>IF(H408="是",CEILING(L408/J408,1),0)</x:f>
        <x:v>4</x:v>
      </x:c>
      <x:c r="N408" s="26" t="n">
        <x:f>M408-K408</x:f>
        <x:v>0</x:v>
      </x:c>
      <x:c r="O408" s="24" t="str">
        <x:f>'500件商品'!Q408</x:f>
        <x:v>遠端區</x:v>
      </x:c>
      <x:c r="P408" s="26" t="n">
        <x:f>'500件商品'!R408</x:f>
        <x:v>61</x:v>
      </x:c>
      <x:c r="Q408" s="24" t="str">
        <x:f>IF(H408="否","非棧板管理",IF(AND(E408="是",N408&gt;0),"季節彈性前移區",IF(OR(C408="Cluster 3",D408&gt;=55),"近端低層棧板區",IF(C408="Cluster 2","中段大貨位",IF(C408="Cluster 4","遠端彈性儲位","中段棧板區")))))</x:f>
        <x:v>中段大貨位</x:v>
      </x:c>
      <x:c r="R408" s="24" t="str">
        <x:f>IF(AND(H408="是",E408="是",N408&gt;0),"是","否")</x:f>
        <x:v>否</x:v>
      </x:c>
      <x:c r="S408" s="24" t="str">
        <x:f>IF(H408="否","非本次棧板儲位分析對象",IF(R408="是","旺季前需前移並增加棧板位",IF(N408&gt;0,"需增加棧板位",IF(N408&lt;0,"可釋放部分棧板位","維持現況"))))</x:f>
        <x:v>維持現況</x:v>
      </x:c>
    </x:row>
    <x:row r="409">
      <x:c r="A409" s="24" t="str">
        <x:f>'500件商品'!A409</x:f>
        <x:v>PX0405</x:v>
      </x:c>
      <x:c r="B409" s="24" t="str">
        <x:f>'500件商品'!B409</x:f>
        <x:v>保鮮膜-小包裝</x:v>
      </x:c>
      <x:c r="C409" s="24" t="str">
        <x:f>'500件商品'!D409</x:f>
        <x:v>Cluster 5</x:v>
      </x:c>
      <x:c r="D409" s="26" t="n">
        <x:f>'500件商品'!F409</x:f>
        <x:v>33</x:v>
      </x:c>
      <x:c r="E409" s="24" t="str">
        <x:f>'500件商品'!K409</x:f>
        <x:v>否</x:v>
      </x:c>
      <x:c r="F409" s="24" t="str">
        <x:f>'500件商品'!L409</x:f>
      </x:c>
      <x:c r="G409" s="28" t="n">
        <x:f>'500件商品'!M409</x:f>
        <x:v>1.1</x:v>
      </x:c>
      <x:c r="H409" s="24" t="str">
        <x:f>'500件商品'!P409</x:f>
        <x:v>是</x:v>
      </x:c>
      <x:c r="I409" s="26" t="n">
        <x:f>'500件商品'!N409</x:f>
        <x:v>252</x:v>
      </x:c>
      <x:c r="J409" s="26" t="n">
        <x:f>'500件商品'!O409</x:f>
        <x:v>80</x:v>
      </x:c>
      <x:c r="K409" s="26" t="n">
        <x:f>IF(H409="是",CEILING(I409/J409,1),0)</x:f>
        <x:v>4</x:v>
      </x:c>
      <x:c r="L409" s="26" t="n">
        <x:f>ROUND(I409*G409,0)</x:f>
        <x:v>277</x:v>
      </x:c>
      <x:c r="M409" s="26" t="n">
        <x:f>IF(H409="是",CEILING(L409/J409,1),0)</x:f>
        <x:v>4</x:v>
      </x:c>
      <x:c r="N409" s="26" t="n">
        <x:f>M409-K409</x:f>
        <x:v>0</x:v>
      </x:c>
      <x:c r="O409" s="24" t="str">
        <x:f>'500件商品'!Q409</x:f>
        <x:v>1區</x:v>
      </x:c>
      <x:c r="P409" s="26" t="n">
        <x:f>'500件商品'!R409</x:f>
        <x:v>31</x:v>
      </x:c>
      <x:c r="Q409" s="24" t="str">
        <x:f>IF(H409="否","非棧板管理",IF(AND(E409="是",N409&gt;0),"季節彈性前移區",IF(OR(C409="Cluster 3",D409&gt;=55),"近端低層棧板區",IF(C409="Cluster 2","中段大貨位",IF(C409="Cluster 4","遠端彈性儲位","中段棧板區")))))</x:f>
        <x:v>中段棧板區</x:v>
      </x:c>
      <x:c r="R409" s="24" t="str">
        <x:f>IF(AND(H409="是",E409="是",N409&gt;0),"是","否")</x:f>
        <x:v>否</x:v>
      </x:c>
      <x:c r="S409" s="24" t="str">
        <x:f>IF(H409="否","非本次棧板儲位分析對象",IF(R409="是","旺季前需前移並增加棧板位",IF(N409&gt;0,"需增加棧板位",IF(N409&lt;0,"可釋放部分棧板位","維持現況"))))</x:f>
        <x:v>維持現況</x:v>
      </x:c>
    </x:row>
    <x:row r="410">
      <x:c r="A410" s="24" t="str">
        <x:f>'500件商品'!A410</x:f>
        <x:v>PX0406</x:v>
      </x:c>
      <x:c r="B410" s="24" t="str">
        <x:f>'500件商品'!B410</x:f>
        <x:v>貓砂10L-標準箱</x:v>
      </x:c>
      <x:c r="C410" s="24" t="str">
        <x:f>'500件商品'!D410</x:f>
        <x:v>Cluster 2</x:v>
      </x:c>
      <x:c r="D410" s="26" t="n">
        <x:f>'500件商品'!F410</x:f>
        <x:v>41</x:v>
      </x:c>
      <x:c r="E410" s="24" t="str">
        <x:f>'500件商品'!K410</x:f>
        <x:v>否</x:v>
      </x:c>
      <x:c r="F410" s="24" t="str">
        <x:f>'500件商品'!L410</x:f>
      </x:c>
      <x:c r="G410" s="28" t="n">
        <x:f>'500件商品'!M410</x:f>
        <x:v>1</x:v>
      </x:c>
      <x:c r="H410" s="24" t="str">
        <x:f>'500件商品'!P410</x:f>
        <x:v>是</x:v>
      </x:c>
      <x:c r="I410" s="26" t="n">
        <x:f>'500件商品'!N410</x:f>
        <x:v>306</x:v>
      </x:c>
      <x:c r="J410" s="26" t="n">
        <x:f>'500件商品'!O410</x:f>
        <x:v>18</x:v>
      </x:c>
      <x:c r="K410" s="26" t="n">
        <x:f>IF(H410="是",CEILING(I410/J410,1),0)</x:f>
        <x:v>17</x:v>
      </x:c>
      <x:c r="L410" s="26" t="n">
        <x:f>ROUND(I410*G410,0)</x:f>
        <x:v>306</x:v>
      </x:c>
      <x:c r="M410" s="26" t="n">
        <x:f>IF(H410="是",CEILING(L410/J410,1),0)</x:f>
        <x:v>17</x:v>
      </x:c>
      <x:c r="N410" s="26" t="n">
        <x:f>M410-K410</x:f>
        <x:v>0</x:v>
      </x:c>
      <x:c r="O410" s="24" t="str">
        <x:f>'500件商品'!Q410</x:f>
        <x:v>A區</x:v>
      </x:c>
      <x:c r="P410" s="26" t="n">
        <x:f>'500件商品'!R410</x:f>
        <x:v>38</x:v>
      </x:c>
      <x:c r="Q410" s="24" t="str">
        <x:f>IF(H410="否","非棧板管理",IF(AND(E410="是",N410&gt;0),"季節彈性前移區",IF(OR(C410="Cluster 3",D410&gt;=55),"近端低層棧板區",IF(C410="Cluster 2","中段大貨位",IF(C410="Cluster 4","遠端彈性儲位","中段棧板區")))))</x:f>
        <x:v>中段大貨位</x:v>
      </x:c>
      <x:c r="R410" s="24" t="str">
        <x:f>IF(AND(H410="是",E410="是",N410&gt;0),"是","否")</x:f>
        <x:v>否</x:v>
      </x:c>
      <x:c r="S410" s="24" t="str">
        <x:f>IF(H410="否","非本次棧板儲位分析對象",IF(R410="是","旺季前需前移並增加棧板位",IF(N410&gt;0,"需增加棧板位",IF(N410&lt;0,"可釋放部分棧板位","維持現況"))))</x:f>
        <x:v>維持現況</x:v>
      </x:c>
    </x:row>
    <x:row r="411">
      <x:c r="A411" s="24" t="str">
        <x:f>'500件商品'!A411</x:f>
        <x:v>PX0407</x:v>
      </x:c>
      <x:c r="B411" s="24" t="str">
        <x:f>'500件商品'!B411</x:f>
        <x:v>暖暖包-補充包</x:v>
      </x:c>
      <x:c r="C411" s="24" t="str">
        <x:f>'500件商品'!D411</x:f>
        <x:v>Cluster 4</x:v>
      </x:c>
      <x:c r="D411" s="26" t="n">
        <x:f>'500件商品'!F411</x:f>
        <x:v>10</x:v>
      </x:c>
      <x:c r="E411" s="24" t="str">
        <x:f>'500件商品'!K411</x:f>
        <x:v>是</x:v>
      </x:c>
      <x:c r="F411" s="24" t="str">
        <x:f>'500件商品'!L411</x:f>
        <x:v>11-2月</x:v>
      </x:c>
      <x:c r="G411" s="28" t="n">
        <x:f>'500件商品'!M411</x:f>
        <x:v>3</x:v>
      </x:c>
      <x:c r="H411" s="24" t="str">
        <x:f>'500件商品'!P411</x:f>
        <x:v>否</x:v>
      </x:c>
      <x:c r="I411" s="26" t="n">
        <x:f>'500件商品'!N411</x:f>
        <x:v>119</x:v>
      </x:c>
      <x:c r="J411" s="26" t="str">
        <x:f>'500件商品'!O411</x:f>
      </x:c>
      <x:c r="K411" s="26" t="n">
        <x:f>IF(H411="是",CEILING(I411/J411,1),0)</x:f>
        <x:v>0</x:v>
      </x:c>
      <x:c r="L411" s="26" t="n">
        <x:f>ROUND(I411*G411,0)</x:f>
        <x:v>357</x:v>
      </x:c>
      <x:c r="M411" s="26" t="n">
        <x:f>IF(H411="是",CEILING(L411/J411,1),0)</x:f>
        <x:v>0</x:v>
      </x:c>
      <x:c r="N411" s="26" t="n">
        <x:f>M411-K411</x:f>
        <x:v>0</x:v>
      </x:c>
      <x:c r="O411" s="24" t="str">
        <x:f>'500件商品'!Q411</x:f>
        <x:v>遠端區</x:v>
      </x:c>
      <x:c r="P411" s="26" t="n">
        <x:f>'500件商品'!R411</x:f>
        <x:v>74</x:v>
      </x:c>
      <x:c r="Q411" s="24" t="str">
        <x:f>IF(H411="否","非棧板管理",IF(AND(E411="是",N411&gt;0),"季節彈性前移區",IF(OR(C411="Cluster 3",D411&gt;=55),"近端低層棧板區",IF(C411="Cluster 2","中段大貨位",IF(C411="Cluster 4","遠端彈性儲位","中段棧板區")))))</x:f>
        <x:v>非棧板管理</x:v>
      </x:c>
      <x:c r="R411" s="24" t="str">
        <x:f>IF(AND(H411="是",E411="是",N411&gt;0),"是","否")</x:f>
        <x:v>否</x:v>
      </x:c>
      <x:c r="S411" s="24" t="str">
        <x:f>IF(H411="否","非本次棧板儲位分析對象",IF(R411="是","旺季前需前移並增加棧板位",IF(N411&gt;0,"需增加棧板位",IF(N411&lt;0,"可釋放部分棧板位","維持現況"))))</x:f>
        <x:v>非本次棧板儲位分析對象</x:v>
      </x:c>
    </x:row>
    <x:row r="412">
      <x:c r="A412" s="24" t="str">
        <x:f>'500件商品'!A412</x:f>
        <x:v>PX0408</x:v>
      </x:c>
      <x:c r="B412" s="24" t="str">
        <x:f>'500件商品'!B412</x:f>
        <x:v>端午禮盒-小包裝</x:v>
      </x:c>
      <x:c r="C412" s="24" t="str">
        <x:f>'500件商品'!D412</x:f>
        <x:v>Cluster 4</x:v>
      </x:c>
      <x:c r="D412" s="26" t="n">
        <x:f>'500件商品'!F412</x:f>
        <x:v>49</x:v>
      </x:c>
      <x:c r="E412" s="24" t="str">
        <x:f>'500件商品'!K412</x:f>
        <x:v>是</x:v>
      </x:c>
      <x:c r="F412" s="24" t="str">
        <x:f>'500件商品'!L412</x:f>
        <x:v>1-2月</x:v>
      </x:c>
      <x:c r="G412" s="28" t="n">
        <x:f>'500件商品'!M412</x:f>
        <x:v>2.5</x:v>
      </x:c>
      <x:c r="H412" s="24" t="str">
        <x:f>'500件商品'!P412</x:f>
        <x:v>是</x:v>
      </x:c>
      <x:c r="I412" s="26" t="n">
        <x:f>'500件商品'!N412</x:f>
        <x:v>767</x:v>
      </x:c>
      <x:c r="J412" s="26" t="n">
        <x:f>'500件商品'!O412</x:f>
        <x:v>30</x:v>
      </x:c>
      <x:c r="K412" s="26" t="n">
        <x:f>IF(H412="是",CEILING(I412/J412,1),0)</x:f>
        <x:v>26</x:v>
      </x:c>
      <x:c r="L412" s="26" t="n">
        <x:f>ROUND(I412*G412,0)</x:f>
        <x:v>1918</x:v>
      </x:c>
      <x:c r="M412" s="26" t="n">
        <x:f>IF(H412="是",CEILING(L412/J412,1),0)</x:f>
        <x:v>64</x:v>
      </x:c>
      <x:c r="N412" s="26" t="n">
        <x:f>M412-K412</x:f>
        <x:v>38</x:v>
      </x:c>
      <x:c r="O412" s="24" t="str">
        <x:f>'500件商品'!Q412</x:f>
        <x:v>A區</x:v>
      </x:c>
      <x:c r="P412" s="26" t="n">
        <x:f>'500件商品'!R412</x:f>
        <x:v>22</x:v>
      </x:c>
      <x:c r="Q412" s="24" t="str">
        <x:f>IF(H412="否","非棧板管理",IF(AND(E412="是",N412&gt;0),"季節彈性前移區",IF(OR(C412="Cluster 3",D412&gt;=55),"近端低層棧板區",IF(C412="Cluster 2","中段大貨位",IF(C412="Cluster 4","遠端彈性儲位","中段棧板區")))))</x:f>
        <x:v>季節彈性前移區</x:v>
      </x:c>
      <x:c r="R412" s="24" t="str">
        <x:f>IF(AND(H412="是",E412="是",N412&gt;0),"是","否")</x:f>
        <x:v>是</x:v>
      </x:c>
      <x:c r="S412" s="24" t="str">
        <x:f>IF(H412="否","非本次棧板儲位分析對象",IF(R412="是","旺季前需前移並增加棧板位",IF(N412&gt;0,"需增加棧板位",IF(N412&lt;0,"可釋放部分棧板位","維持現況"))))</x:f>
        <x:v>旺季前需前移並增加棧板位</x:v>
      </x:c>
    </x:row>
    <x:row r="413">
      <x:c r="A413" s="24" t="str">
        <x:f>'500件商品'!A413</x:f>
        <x:v>PX0409</x:v>
      </x:c>
      <x:c r="B413" s="24" t="str">
        <x:f>'500件商品'!B413</x:f>
        <x:v>洗衣精補充包-標準箱</x:v>
      </x:c>
      <x:c r="C413" s="24" t="str">
        <x:f>'500件商品'!D413</x:f>
        <x:v>Cluster 1</x:v>
      </x:c>
      <x:c r="D413" s="26" t="n">
        <x:f>'500件商品'!F413</x:f>
        <x:v>45</x:v>
      </x:c>
      <x:c r="E413" s="24" t="str">
        <x:f>'500件商品'!K413</x:f>
        <x:v>否</x:v>
      </x:c>
      <x:c r="F413" s="24" t="str">
        <x:f>'500件商品'!L413</x:f>
      </x:c>
      <x:c r="G413" s="28" t="n">
        <x:f>'500件商品'!M413</x:f>
        <x:v>1</x:v>
      </x:c>
      <x:c r="H413" s="24" t="str">
        <x:f>'500件商品'!P413</x:f>
        <x:v>是</x:v>
      </x:c>
      <x:c r="I413" s="26" t="n">
        <x:f>'500件商品'!N413</x:f>
        <x:v>169</x:v>
      </x:c>
      <x:c r="J413" s="26" t="n">
        <x:f>'500件商品'!O413</x:f>
        <x:v>72</x:v>
      </x:c>
      <x:c r="K413" s="26" t="n">
        <x:f>IF(H413="是",CEILING(I413/J413,1),0)</x:f>
        <x:v>3</x:v>
      </x:c>
      <x:c r="L413" s="26" t="n">
        <x:f>ROUND(I413*G413,0)</x:f>
        <x:v>169</x:v>
      </x:c>
      <x:c r="M413" s="26" t="n">
        <x:f>IF(H413="是",CEILING(L413/J413,1),0)</x:f>
        <x:v>3</x:v>
      </x:c>
      <x:c r="N413" s="26" t="n">
        <x:f>M413-K413</x:f>
        <x:v>0</x:v>
      </x:c>
      <x:c r="O413" s="24" t="str">
        <x:f>'500件商品'!Q413</x:f>
        <x:v>遠端區</x:v>
      </x:c>
      <x:c r="P413" s="26" t="n">
        <x:f>'500件商品'!R413</x:f>
        <x:v>74</x:v>
      </x:c>
      <x:c r="Q413" s="24" t="str">
        <x:f>IF(H413="否","非棧板管理",IF(AND(E413="是",N413&gt;0),"季節彈性前移區",IF(OR(C413="Cluster 3",D413&gt;=55),"近端低層棧板區",IF(C413="Cluster 2","中段大貨位",IF(C413="Cluster 4","遠端彈性儲位","中段棧板區")))))</x:f>
        <x:v>中段棧板區</x:v>
      </x:c>
      <x:c r="R413" s="24" t="str">
        <x:f>IF(AND(H413="是",E413="是",N413&gt;0),"是","否")</x:f>
        <x:v>否</x:v>
      </x:c>
      <x:c r="S413" s="24" t="str">
        <x:f>IF(H413="否","非本次棧板儲位分析對象",IF(R413="是","旺季前需前移並增加棧板位",IF(N413&gt;0,"需增加棧板位",IF(N413&lt;0,"可釋放部分棧板位","維持現況"))))</x:f>
        <x:v>維持現況</x:v>
      </x:c>
    </x:row>
    <x:row r="414">
      <x:c r="A414" s="24" t="str">
        <x:f>'500件商品'!A414</x:f>
        <x:v>PX0410</x:v>
      </x:c>
      <x:c r="B414" s="24" t="str">
        <x:f>'500件商品'!B414</x:f>
        <x:v>捲筒衛生紙-小包裝</x:v>
      </x:c>
      <x:c r="C414" s="24" t="str">
        <x:f>'500件商品'!D414</x:f>
        <x:v>Cluster 2</x:v>
      </x:c>
      <x:c r="D414" s="26" t="n">
        <x:f>'500件商品'!F414</x:f>
        <x:v>6</x:v>
      </x:c>
      <x:c r="E414" s="24" t="str">
        <x:f>'500件商品'!K414</x:f>
        <x:v>否</x:v>
      </x:c>
      <x:c r="F414" s="24" t="str">
        <x:f>'500件商品'!L414</x:f>
      </x:c>
      <x:c r="G414" s="28" t="n">
        <x:f>'500件商品'!M414</x:f>
        <x:v>1</x:v>
      </x:c>
      <x:c r="H414" s="24" t="str">
        <x:f>'500件商品'!P414</x:f>
        <x:v>是</x:v>
      </x:c>
      <x:c r="I414" s="26" t="n">
        <x:f>'500件商品'!N414</x:f>
        <x:v>49</x:v>
      </x:c>
      <x:c r="J414" s="26" t="n">
        <x:f>'500件商品'!O414</x:f>
        <x:v>18</x:v>
      </x:c>
      <x:c r="K414" s="26" t="n">
        <x:f>IF(H414="是",CEILING(I414/J414,1),0)</x:f>
        <x:v>3</x:v>
      </x:c>
      <x:c r="L414" s="26" t="n">
        <x:f>ROUND(I414*G414,0)</x:f>
        <x:v>49</x:v>
      </x:c>
      <x:c r="M414" s="26" t="n">
        <x:f>IF(H414="是",CEILING(L414/J414,1),0)</x:f>
        <x:v>3</x:v>
      </x:c>
      <x:c r="N414" s="26" t="n">
        <x:f>M414-K414</x:f>
        <x:v>0</x:v>
      </x:c>
      <x:c r="O414" s="24" t="str">
        <x:f>'500件商品'!Q414</x:f>
        <x:v>彈性區</x:v>
      </x:c>
      <x:c r="P414" s="26" t="n">
        <x:f>'500件商品'!R414</x:f>
        <x:v>61</x:v>
      </x:c>
      <x:c r="Q414" s="24" t="str">
        <x:f>IF(H414="否","非棧板管理",IF(AND(E414="是",N414&gt;0),"季節彈性前移區",IF(OR(C414="Cluster 3",D414&gt;=55),"近端低層棧板區",IF(C414="Cluster 2","中段大貨位",IF(C414="Cluster 4","遠端彈性儲位","中段棧板區")))))</x:f>
        <x:v>中段大貨位</x:v>
      </x:c>
      <x:c r="R414" s="24" t="str">
        <x:f>IF(AND(H414="是",E414="是",N414&gt;0),"是","否")</x:f>
        <x:v>否</x:v>
      </x:c>
      <x:c r="S414" s="24" t="str">
        <x:f>IF(H414="否","非本次棧板儲位分析對象",IF(R414="是","旺季前需前移並增加棧板位",IF(N414&gt;0,"需增加棧板位",IF(N414&lt;0,"可釋放部分棧板位","維持現況"))))</x:f>
        <x:v>維持現況</x:v>
      </x:c>
    </x:row>
    <x:row r="415">
      <x:c r="A415" s="24" t="str">
        <x:f>'500件商品'!A415</x:f>
        <x:v>PX0411</x:v>
      </x:c>
      <x:c r="B415" s="24" t="str">
        <x:f>'500件商品'!B415</x:f>
        <x:v>擦手紙箱-標準箱</x:v>
      </x:c>
      <x:c r="C415" s="24" t="str">
        <x:f>'500件商品'!D415</x:f>
        <x:v>Cluster 5</x:v>
      </x:c>
      <x:c r="D415" s="26" t="n">
        <x:f>'500件商品'!F415</x:f>
        <x:v>79</x:v>
      </x:c>
      <x:c r="E415" s="24" t="str">
        <x:f>'500件商品'!K415</x:f>
        <x:v>否</x:v>
      </x:c>
      <x:c r="F415" s="24" t="str">
        <x:f>'500件商品'!L415</x:f>
      </x:c>
      <x:c r="G415" s="28" t="n">
        <x:f>'500件商品'!M415</x:f>
        <x:v>1</x:v>
      </x:c>
      <x:c r="H415" s="24" t="str">
        <x:f>'500件商品'!P415</x:f>
        <x:v>是</x:v>
      </x:c>
      <x:c r="I415" s="26" t="n">
        <x:f>'500件商品'!N415</x:f>
        <x:v>312</x:v>
      </x:c>
      <x:c r="J415" s="26" t="n">
        <x:f>'500件商品'!O415</x:f>
        <x:v>60</x:v>
      </x:c>
      <x:c r="K415" s="26" t="n">
        <x:f>IF(H415="是",CEILING(I415/J415,1),0)</x:f>
        <x:v>6</x:v>
      </x:c>
      <x:c r="L415" s="26" t="n">
        <x:f>ROUND(I415*G415,0)</x:f>
        <x:v>312</x:v>
      </x:c>
      <x:c r="M415" s="26" t="n">
        <x:f>IF(H415="是",CEILING(L415/J415,1),0)</x:f>
        <x:v>6</x:v>
      </x:c>
      <x:c r="N415" s="26" t="n">
        <x:f>M415-K415</x:f>
        <x:v>0</x:v>
      </x:c>
      <x:c r="O415" s="24" t="str">
        <x:f>'500件商品'!Q415</x:f>
        <x:v>K區</x:v>
      </x:c>
      <x:c r="P415" s="26" t="n">
        <x:f>'500件商品'!R415</x:f>
        <x:v>59</x:v>
      </x:c>
      <x:c r="Q415" s="24" t="str">
        <x:f>IF(H415="否","非棧板管理",IF(AND(E415="是",N415&gt;0),"季節彈性前移區",IF(OR(C415="Cluster 3",D415&gt;=55),"近端低層棧板區",IF(C415="Cluster 2","中段大貨位",IF(C415="Cluster 4","遠端彈性儲位","中段棧板區")))))</x:f>
        <x:v>近端低層棧板區</x:v>
      </x:c>
      <x:c r="R415" s="24" t="str">
        <x:f>IF(AND(H415="是",E415="是",N415&gt;0),"是","否")</x:f>
        <x:v>否</x:v>
      </x:c>
      <x:c r="S415" s="24" t="str">
        <x:f>IF(H415="否","非本次棧板儲位分析對象",IF(R415="是","旺季前需前移並增加棧板位",IF(N415&gt;0,"需增加棧板位",IF(N415&lt;0,"可釋放部分棧板位","維持現況"))))</x:f>
        <x:v>維持現況</x:v>
      </x:c>
    </x:row>
    <x:row r="416">
      <x:c r="A416" s="24" t="str">
        <x:f>'500件商品'!A416</x:f>
        <x:v>PX0412</x:v>
      </x:c>
      <x:c r="B416" s="24" t="str">
        <x:f>'500件商品'!B416</x:f>
        <x:v>餅乾箱-小包裝</x:v>
      </x:c>
      <x:c r="C416" s="24" t="str">
        <x:f>'500件商品'!D416</x:f>
        <x:v>Cluster 5</x:v>
      </x:c>
      <x:c r="D416" s="26" t="n">
        <x:f>'500件商品'!F416</x:f>
        <x:v>41</x:v>
      </x:c>
      <x:c r="E416" s="24" t="str">
        <x:f>'500件商品'!K416</x:f>
        <x:v>否</x:v>
      </x:c>
      <x:c r="F416" s="24" t="str">
        <x:f>'500件商品'!L416</x:f>
      </x:c>
      <x:c r="G416" s="28" t="n">
        <x:f>'500件商品'!M416</x:f>
        <x:v>1</x:v>
      </x:c>
      <x:c r="H416" s="24" t="str">
        <x:f>'500件商品'!P416</x:f>
        <x:v>是</x:v>
      </x:c>
      <x:c r="I416" s="26" t="n">
        <x:f>'500件商品'!N416</x:f>
        <x:v>190</x:v>
      </x:c>
      <x:c r="J416" s="26" t="n">
        <x:f>'500件商品'!O416</x:f>
        <x:v>60</x:v>
      </x:c>
      <x:c r="K416" s="26" t="n">
        <x:f>IF(H416="是",CEILING(I416/J416,1),0)</x:f>
        <x:v>4</x:v>
      </x:c>
      <x:c r="L416" s="26" t="n">
        <x:f>ROUND(I416*G416,0)</x:f>
        <x:v>190</x:v>
      </x:c>
      <x:c r="M416" s="26" t="n">
        <x:f>IF(H416="是",CEILING(L416/J416,1),0)</x:f>
        <x:v>4</x:v>
      </x:c>
      <x:c r="N416" s="26" t="n">
        <x:f>M416-K416</x:f>
        <x:v>0</x:v>
      </x:c>
      <x:c r="O416" s="24" t="str">
        <x:f>'500件商品'!Q416</x:f>
        <x:v>K區</x:v>
      </x:c>
      <x:c r="P416" s="26" t="n">
        <x:f>'500件商品'!R416</x:f>
        <x:v>55</x:v>
      </x:c>
      <x:c r="Q416" s="24" t="str">
        <x:f>IF(H416="否","非棧板管理",IF(AND(E416="是",N416&gt;0),"季節彈性前移區",IF(OR(C416="Cluster 3",D416&gt;=55),"近端低層棧板區",IF(C416="Cluster 2","中段大貨位",IF(C416="Cluster 4","遠端彈性儲位","中段棧板區")))))</x:f>
        <x:v>中段棧板區</x:v>
      </x:c>
      <x:c r="R416" s="24" t="str">
        <x:f>IF(AND(H416="是",E416="是",N416&gt;0),"是","否")</x:f>
        <x:v>否</x:v>
      </x:c>
      <x:c r="S416" s="24" t="str">
        <x:f>IF(H416="否","非本次棧板儲位分析對象",IF(R416="是","旺季前需前移並增加棧板位",IF(N416&gt;0,"需增加棧板位",IF(N416&lt;0,"可釋放部分棧板位","維持現況"))))</x:f>
        <x:v>維持現況</x:v>
      </x:c>
    </x:row>
    <x:row r="417">
      <x:c r="A417" s="24" t="str">
        <x:f>'500件商品'!A417</x:f>
        <x:v>PX0413</x:v>
      </x:c>
      <x:c r="B417" s="24" t="str">
        <x:f>'500件商品'!B417</x:f>
        <x:v>蛋捲禮盒-箱裝</x:v>
      </x:c>
      <x:c r="C417" s="24" t="str">
        <x:f>'500件商品'!D417</x:f>
        <x:v>Cluster 4</x:v>
      </x:c>
      <x:c r="D417" s="26" t="n">
        <x:f>'500件商品'!F417</x:f>
        <x:v>14</x:v>
      </x:c>
      <x:c r="E417" s="24" t="str">
        <x:f>'500件商品'!K417</x:f>
        <x:v>是</x:v>
      </x:c>
      <x:c r="F417" s="24" t="str">
        <x:f>'500件商品'!L417</x:f>
        <x:v>1-2月</x:v>
      </x:c>
      <x:c r="G417" s="28" t="n">
        <x:f>'500件商品'!M417</x:f>
        <x:v>2</x:v>
      </x:c>
      <x:c r="H417" s="24" t="str">
        <x:f>'500件商品'!P417</x:f>
        <x:v>是</x:v>
      </x:c>
      <x:c r="I417" s="26" t="n">
        <x:f>'500件商品'!N417</x:f>
        <x:v>112</x:v>
      </x:c>
      <x:c r="J417" s="26" t="n">
        <x:f>'500件商品'!O417</x:f>
        <x:v>24</x:v>
      </x:c>
      <x:c r="K417" s="26" t="n">
        <x:f>IF(H417="是",CEILING(I417/J417,1),0)</x:f>
        <x:v>5</x:v>
      </x:c>
      <x:c r="L417" s="26" t="n">
        <x:f>ROUND(I417*G417,0)</x:f>
        <x:v>224</x:v>
      </x:c>
      <x:c r="M417" s="26" t="n">
        <x:f>IF(H417="是",CEILING(L417/J417,1),0)</x:f>
        <x:v>10</x:v>
      </x:c>
      <x:c r="N417" s="26" t="n">
        <x:f>M417-K417</x:f>
        <x:v>5</x:v>
      </x:c>
      <x:c r="O417" s="24" t="str">
        <x:f>'500件商品'!Q417</x:f>
        <x:v>遠端區</x:v>
      </x:c>
      <x:c r="P417" s="26" t="n">
        <x:f>'500件商品'!R417</x:f>
        <x:v>68</x:v>
      </x:c>
      <x:c r="Q417" s="24" t="str">
        <x:f>IF(H417="否","非棧板管理",IF(AND(E417="是",N417&gt;0),"季節彈性前移區",IF(OR(C417="Cluster 3",D417&gt;=55),"近端低層棧板區",IF(C417="Cluster 2","中段大貨位",IF(C417="Cluster 4","遠端彈性儲位","中段棧板區")))))</x:f>
        <x:v>季節彈性前移區</x:v>
      </x:c>
      <x:c r="R417" s="24" t="str">
        <x:f>IF(AND(H417="是",E417="是",N417&gt;0),"是","否")</x:f>
        <x:v>是</x:v>
      </x:c>
      <x:c r="S417" s="24" t="str">
        <x:f>IF(H417="否","非本次棧板儲位分析對象",IF(R417="是","旺季前需前移並增加棧板位",IF(N417&gt;0,"需增加棧板位",IF(N417&lt;0,"可釋放部分棧板位","維持現況"))))</x:f>
        <x:v>旺季前需前移並增加棧板位</x:v>
      </x:c>
    </x:row>
    <x:row r="418">
      <x:c r="A418" s="24" t="str">
        <x:f>'500件商品'!A418</x:f>
        <x:v>PX0414</x:v>
      </x:c>
      <x:c r="B418" s="24" t="str">
        <x:f>'500件商品'!B418</x:f>
        <x:v>地板清潔劑-箱裝</x:v>
      </x:c>
      <x:c r="C418" s="24" t="str">
        <x:f>'500件商品'!D418</x:f>
        <x:v>Cluster 1</x:v>
      </x:c>
      <x:c r="D418" s="26" t="n">
        <x:f>'500件商品'!F418</x:f>
        <x:v>20</x:v>
      </x:c>
      <x:c r="E418" s="24" t="str">
        <x:f>'500件商品'!K418</x:f>
        <x:v>否</x:v>
      </x:c>
      <x:c r="F418" s="24" t="str">
        <x:f>'500件商品'!L418</x:f>
      </x:c>
      <x:c r="G418" s="28" t="n">
        <x:f>'500件商品'!M418</x:f>
        <x:v>1.1</x:v>
      </x:c>
      <x:c r="H418" s="24" t="str">
        <x:f>'500件商品'!P418</x:f>
        <x:v>是</x:v>
      </x:c>
      <x:c r="I418" s="26" t="n">
        <x:f>'500件商品'!N418</x:f>
        <x:v>168</x:v>
      </x:c>
      <x:c r="J418" s="26" t="n">
        <x:f>'500件商品'!O418</x:f>
        <x:v>80</x:v>
      </x:c>
      <x:c r="K418" s="26" t="n">
        <x:f>IF(H418="是",CEILING(I418/J418,1),0)</x:f>
        <x:v>3</x:v>
      </x:c>
      <x:c r="L418" s="26" t="n">
        <x:f>ROUND(I418*G418,0)</x:f>
        <x:v>185</x:v>
      </x:c>
      <x:c r="M418" s="26" t="n">
        <x:f>IF(H418="是",CEILING(L418/J418,1),0)</x:f>
        <x:v>3</x:v>
      </x:c>
      <x:c r="N418" s="26" t="n">
        <x:f>M418-K418</x:f>
        <x:v>0</x:v>
      </x:c>
      <x:c r="O418" s="24" t="str">
        <x:f>'500件商品'!Q418</x:f>
        <x:v>K區</x:v>
      </x:c>
      <x:c r="P418" s="26" t="n">
        <x:f>'500件商品'!R418</x:f>
        <x:v>39</x:v>
      </x:c>
      <x:c r="Q418" s="24" t="str">
        <x:f>IF(H418="否","非棧板管理",IF(AND(E418="是",N418&gt;0),"季節彈性前移區",IF(OR(C418="Cluster 3",D418&gt;=55),"近端低層棧板區",IF(C418="Cluster 2","中段大貨位",IF(C418="Cluster 4","遠端彈性儲位","中段棧板區")))))</x:f>
        <x:v>中段棧板區</x:v>
      </x:c>
      <x:c r="R418" s="24" t="str">
        <x:f>IF(AND(H418="是",E418="是",N418&gt;0),"是","否")</x:f>
        <x:v>否</x:v>
      </x:c>
      <x:c r="S418" s="24" t="str">
        <x:f>IF(H418="否","非本次棧板儲位分析對象",IF(R418="是","旺季前需前移並增加棧板位",IF(N418&gt;0,"需增加棧板位",IF(N418&lt;0,"可釋放部分棧板位","維持現況"))))</x:f>
        <x:v>維持現況</x:v>
      </x:c>
    </x:row>
    <x:row r="419">
      <x:c r="A419" s="24" t="str">
        <x:f>'500件商品'!A419</x:f>
        <x:v>PX0415</x:v>
      </x:c>
      <x:c r="B419" s="24" t="str">
        <x:f>'500件商品'!B419</x:f>
        <x:v>面紙箱-家庭號</x:v>
      </x:c>
      <x:c r="C419" s="24" t="str">
        <x:f>'500件商品'!D419</x:f>
        <x:v>Cluster 5</x:v>
      </x:c>
      <x:c r="D419" s="26" t="n">
        <x:f>'500件商品'!F419</x:f>
        <x:v>4</x:v>
      </x:c>
      <x:c r="E419" s="24" t="str">
        <x:f>'500件商品'!K419</x:f>
        <x:v>否</x:v>
      </x:c>
      <x:c r="F419" s="24" t="str">
        <x:f>'500件商品'!L419</x:f>
      </x:c>
      <x:c r="G419" s="28" t="n">
        <x:f>'500件商品'!M419</x:f>
        <x:v>1</x:v>
      </x:c>
      <x:c r="H419" s="24" t="str">
        <x:f>'500件商品'!P419</x:f>
        <x:v>否</x:v>
      </x:c>
      <x:c r="I419" s="26" t="n">
        <x:f>'500件商品'!N419</x:f>
        <x:v>32</x:v>
      </x:c>
      <x:c r="J419" s="26" t="str">
        <x:f>'500件商品'!O419</x:f>
      </x:c>
      <x:c r="K419" s="26" t="n">
        <x:f>IF(H419="是",CEILING(I419/J419,1),0)</x:f>
        <x:v>0</x:v>
      </x:c>
      <x:c r="L419" s="26" t="n">
        <x:f>ROUND(I419*G419,0)</x:f>
        <x:v>32</x:v>
      </x:c>
      <x:c r="M419" s="26" t="n">
        <x:f>IF(H419="是",CEILING(L419/J419,1),0)</x:f>
        <x:v>0</x:v>
      </x:c>
      <x:c r="N419" s="26" t="n">
        <x:f>M419-K419</x:f>
        <x:v>0</x:v>
      </x:c>
      <x:c r="O419" s="24" t="str">
        <x:f>'500件商品'!Q419</x:f>
        <x:v>彈性區</x:v>
      </x:c>
      <x:c r="P419" s="26" t="n">
        <x:f>'500件商品'!R419</x:f>
        <x:v>63</x:v>
      </x:c>
      <x:c r="Q419" s="24" t="str">
        <x:f>IF(H419="否","非棧板管理",IF(AND(E419="是",N419&gt;0),"季節彈性前移區",IF(OR(C419="Cluster 3",D419&gt;=55),"近端低層棧板區",IF(C419="Cluster 2","中段大貨位",IF(C419="Cluster 4","遠端彈性儲位","中段棧板區")))))</x:f>
        <x:v>非棧板管理</x:v>
      </x:c>
      <x:c r="R419" s="24" t="str">
        <x:f>IF(AND(H419="是",E419="是",N419&gt;0),"是","否")</x:f>
        <x:v>否</x:v>
      </x:c>
      <x:c r="S419" s="24" t="str">
        <x:f>IF(H419="否","非本次棧板儲位分析對象",IF(R419="是","旺季前需前移並增加棧板位",IF(N419&gt;0,"需增加棧板位",IF(N419&lt;0,"可釋放部分棧板位","維持現況"))))</x:f>
        <x:v>非本次棧板儲位分析對象</x:v>
      </x:c>
    </x:row>
    <x:row r="420">
      <x:c r="A420" s="24" t="str">
        <x:f>'500件商品'!A420</x:f>
        <x:v>PX0416</x:v>
      </x:c>
      <x:c r="B420" s="24" t="str">
        <x:f>'500件商品'!B420</x:f>
        <x:v>白米3kg-標準箱</x:v>
      </x:c>
      <x:c r="C420" s="24" t="str">
        <x:f>'500件商品'!D420</x:f>
        <x:v>Cluster 2</x:v>
      </x:c>
      <x:c r="D420" s="26" t="n">
        <x:f>'500件商品'!F420</x:f>
        <x:v>41</x:v>
      </x:c>
      <x:c r="E420" s="24" t="str">
        <x:f>'500件商品'!K420</x:f>
        <x:v>否</x:v>
      </x:c>
      <x:c r="F420" s="24" t="str">
        <x:f>'500件商品'!L420</x:f>
      </x:c>
      <x:c r="G420" s="28" t="n">
        <x:f>'500件商品'!M420</x:f>
        <x:v>1</x:v>
      </x:c>
      <x:c r="H420" s="24" t="str">
        <x:f>'500件商品'!P420</x:f>
        <x:v>是</x:v>
      </x:c>
      <x:c r="I420" s="26" t="n">
        <x:f>'500件商品'!N420</x:f>
        <x:v>355</x:v>
      </x:c>
      <x:c r="J420" s="26" t="n">
        <x:f>'500件商品'!O420</x:f>
        <x:v>40</x:v>
      </x:c>
      <x:c r="K420" s="26" t="n">
        <x:f>IF(H420="是",CEILING(I420/J420,1),0)</x:f>
        <x:v>9</x:v>
      </x:c>
      <x:c r="L420" s="26" t="n">
        <x:f>ROUND(I420*G420,0)</x:f>
        <x:v>355</x:v>
      </x:c>
      <x:c r="M420" s="26" t="n">
        <x:f>IF(H420="是",CEILING(L420/J420,1),0)</x:f>
        <x:v>9</x:v>
      </x:c>
      <x:c r="N420" s="26" t="n">
        <x:f>M420-K420</x:f>
        <x:v>0</x:v>
      </x:c>
      <x:c r="O420" s="24" t="str">
        <x:f>'500件商品'!Q420</x:f>
        <x:v>3區</x:v>
      </x:c>
      <x:c r="P420" s="26" t="n">
        <x:f>'500件商品'!R420</x:f>
        <x:v>48</x:v>
      </x:c>
      <x:c r="Q420" s="24" t="str">
        <x:f>IF(H420="否","非棧板管理",IF(AND(E420="是",N420&gt;0),"季節彈性前移區",IF(OR(C420="Cluster 3",D420&gt;=55),"近端低層棧板區",IF(C420="Cluster 2","中段大貨位",IF(C420="Cluster 4","遠端彈性儲位","中段棧板區")))))</x:f>
        <x:v>中段大貨位</x:v>
      </x:c>
      <x:c r="R420" s="24" t="str">
        <x:f>IF(AND(H420="是",E420="是",N420&gt;0),"是","否")</x:f>
        <x:v>否</x:v>
      </x:c>
      <x:c r="S420" s="24" t="str">
        <x:f>IF(H420="否","非本次棧板儲位分析對象",IF(R420="是","旺季前需前移並增加棧板位",IF(N420&gt;0,"需增加棧板位",IF(N420&lt;0,"可釋放部分棧板位","維持現況"))))</x:f>
        <x:v>維持現況</x:v>
      </x:c>
    </x:row>
    <x:row r="421">
      <x:c r="A421" s="24" t="str">
        <x:f>'500件商品'!A421</x:f>
        <x:v>PX0417</x:v>
      </x:c>
      <x:c r="B421" s="24" t="str">
        <x:f>'500件商品'!B421</x:f>
        <x:v>咖啡罐裝整箱-補充包</x:v>
      </x:c>
      <x:c r="C421" s="24" t="str">
        <x:f>'500件商品'!D421</x:f>
        <x:v>Cluster 1</x:v>
      </x:c>
      <x:c r="D421" s="26" t="n">
        <x:f>'500件商品'!F421</x:f>
        <x:v>54</x:v>
      </x:c>
      <x:c r="E421" s="24" t="str">
        <x:f>'500件商品'!K421</x:f>
        <x:v>否</x:v>
      </x:c>
      <x:c r="F421" s="24" t="str">
        <x:f>'500件商品'!L421</x:f>
      </x:c>
      <x:c r="G421" s="28" t="n">
        <x:f>'500件商品'!M421</x:f>
        <x:v>1</x:v>
      </x:c>
      <x:c r="H421" s="24" t="str">
        <x:f>'500件商品'!P421</x:f>
        <x:v>是</x:v>
      </x:c>
      <x:c r="I421" s="26" t="n">
        <x:f>'500件商品'!N421</x:f>
        <x:v>343</x:v>
      </x:c>
      <x:c r="J421" s="26" t="n">
        <x:f>'500件商品'!O421</x:f>
        <x:v>60</x:v>
      </x:c>
      <x:c r="K421" s="26" t="n">
        <x:f>IF(H421="是",CEILING(I421/J421,1),0)</x:f>
        <x:v>6</x:v>
      </x:c>
      <x:c r="L421" s="26" t="n">
        <x:f>ROUND(I421*G421,0)</x:f>
        <x:v>343</x:v>
      </x:c>
      <x:c r="M421" s="26" t="n">
        <x:f>IF(H421="是",CEILING(L421/J421,1),0)</x:f>
        <x:v>6</x:v>
      </x:c>
      <x:c r="N421" s="26" t="n">
        <x:f>M421-K421</x:f>
        <x:v>0</x:v>
      </x:c>
      <x:c r="O421" s="24" t="str">
        <x:f>'500件商品'!Q421</x:f>
        <x:v>A區</x:v>
      </x:c>
      <x:c r="P421" s="26" t="n">
        <x:f>'500件商品'!R421</x:f>
        <x:v>37</x:v>
      </x:c>
      <x:c r="Q421" s="24" t="str">
        <x:f>IF(H421="否","非棧板管理",IF(AND(E421="是",N421&gt;0),"季節彈性前移區",IF(OR(C421="Cluster 3",D421&gt;=55),"近端低層棧板區",IF(C421="Cluster 2","中段大貨位",IF(C421="Cluster 4","遠端彈性儲位","中段棧板區")))))</x:f>
        <x:v>中段棧板區</x:v>
      </x:c>
      <x:c r="R421" s="24" t="str">
        <x:f>IF(AND(H421="是",E421="是",N421&gt;0),"是","否")</x:f>
        <x:v>否</x:v>
      </x:c>
      <x:c r="S421" s="24" t="str">
        <x:f>IF(H421="否","非本次棧板儲位分析對象",IF(R421="是","旺季前需前移並增加棧板位",IF(N421&gt;0,"需增加棧板位",IF(N421&lt;0,"可釋放部分棧板位","維持現況"))))</x:f>
        <x:v>維持現況</x:v>
      </x:c>
    </x:row>
    <x:row r="422">
      <x:c r="A422" s="24" t="str">
        <x:f>'500件商品'!A422</x:f>
        <x:v>PX0418</x:v>
      </x:c>
      <x:c r="B422" s="24" t="str">
        <x:f>'500件商品'!B422</x:f>
        <x:v>果汁飲料整箱-標準箱</x:v>
      </x:c>
      <x:c r="C422" s="24" t="str">
        <x:f>'500件商品'!D422</x:f>
        <x:v>Cluster 2</x:v>
      </x:c>
      <x:c r="D422" s="26" t="n">
        <x:f>'500件商品'!F422</x:f>
        <x:v>34</x:v>
      </x:c>
      <x:c r="E422" s="24" t="str">
        <x:f>'500件商品'!K422</x:f>
        <x:v>否</x:v>
      </x:c>
      <x:c r="F422" s="24" t="str">
        <x:f>'500件商品'!L422</x:f>
      </x:c>
      <x:c r="G422" s="28" t="n">
        <x:f>'500件商品'!M422</x:f>
        <x:v>1.5</x:v>
      </x:c>
      <x:c r="H422" s="24" t="str">
        <x:f>'500件商品'!P422</x:f>
        <x:v>是</x:v>
      </x:c>
      <x:c r="I422" s="26" t="n">
        <x:f>'500件商品'!N422</x:f>
        <x:v>157</x:v>
      </x:c>
      <x:c r="J422" s="26" t="n">
        <x:f>'500件商品'!O422</x:f>
        <x:v>32</x:v>
      </x:c>
      <x:c r="K422" s="26" t="n">
        <x:f>IF(H422="是",CEILING(I422/J422,1),0)</x:f>
        <x:v>5</x:v>
      </x:c>
      <x:c r="L422" s="26" t="n">
        <x:f>ROUND(I422*G422,0)</x:f>
        <x:v>236</x:v>
      </x:c>
      <x:c r="M422" s="26" t="n">
        <x:f>IF(H422="是",CEILING(L422/J422,1),0)</x:f>
        <x:v>8</x:v>
      </x:c>
      <x:c r="N422" s="26" t="n">
        <x:f>M422-K422</x:f>
        <x:v>3</x:v>
      </x:c>
      <x:c r="O422" s="24" t="str">
        <x:f>'500件商品'!Q422</x:f>
        <x:v>A區</x:v>
      </x:c>
      <x:c r="P422" s="26" t="n">
        <x:f>'500件商品'!R422</x:f>
        <x:v>25</x:v>
      </x:c>
      <x:c r="Q422" s="24" t="str">
        <x:f>IF(H422="否","非棧板管理",IF(AND(E422="是",N422&gt;0),"季節彈性前移區",IF(OR(C422="Cluster 3",D422&gt;=55),"近端低層棧板區",IF(C422="Cluster 2","中段大貨位",IF(C422="Cluster 4","遠端彈性儲位","中段棧板區")))))</x:f>
        <x:v>中段大貨位</x:v>
      </x:c>
      <x:c r="R422" s="24" t="str">
        <x:f>IF(AND(H422="是",E422="是",N422&gt;0),"是","否")</x:f>
        <x:v>否</x:v>
      </x:c>
      <x:c r="S422" s="24" t="str">
        <x:f>IF(H422="否","非本次棧板儲位分析對象",IF(R422="是","旺季前需前移並增加棧板位",IF(N422&gt;0,"需增加棧板位",IF(N422&lt;0,"可釋放部分棧板位","維持現況"))))</x:f>
        <x:v>需增加棧板位</x:v>
      </x:c>
    </x:row>
    <x:row r="423">
      <x:c r="A423" s="24" t="str">
        <x:f>'500件商品'!A423</x:f>
        <x:v>PX0419</x:v>
      </x:c>
      <x:c r="B423" s="24" t="str">
        <x:f>'500件商品'!B423</x:f>
        <x:v>保鮮盒-補充包</x:v>
      </x:c>
      <x:c r="C423" s="24" t="str">
        <x:f>'500件商品'!D423</x:f>
        <x:v>Cluster 5</x:v>
      </x:c>
      <x:c r="D423" s="26" t="n">
        <x:f>'500件商品'!F423</x:f>
        <x:v>27</x:v>
      </x:c>
      <x:c r="E423" s="24" t="str">
        <x:f>'500件商品'!K423</x:f>
        <x:v>否</x:v>
      </x:c>
      <x:c r="F423" s="24" t="str">
        <x:f>'500件商品'!L423</x:f>
      </x:c>
      <x:c r="G423" s="28" t="n">
        <x:f>'500件商品'!M423</x:f>
        <x:v>1.1</x:v>
      </x:c>
      <x:c r="H423" s="24" t="str">
        <x:f>'500件商品'!P423</x:f>
        <x:v>否</x:v>
      </x:c>
      <x:c r="I423" s="26" t="n">
        <x:f>'500件商品'!N423</x:f>
        <x:v>158</x:v>
      </x:c>
      <x:c r="J423" s="26" t="str">
        <x:f>'500件商品'!O423</x:f>
      </x:c>
      <x:c r="K423" s="26" t="n">
        <x:f>IF(H423="是",CEILING(I423/J423,1),0)</x:f>
        <x:v>0</x:v>
      </x:c>
      <x:c r="L423" s="26" t="n">
        <x:f>ROUND(I423*G423,0)</x:f>
        <x:v>174</x:v>
      </x:c>
      <x:c r="M423" s="26" t="n">
        <x:f>IF(H423="是",CEILING(L423/J423,1),0)</x:f>
        <x:v>0</x:v>
      </x:c>
      <x:c r="N423" s="26" t="n">
        <x:f>M423-K423</x:f>
        <x:v>0</x:v>
      </x:c>
      <x:c r="O423" s="24" t="str">
        <x:f>'500件商品'!Q423</x:f>
        <x:v>1區</x:v>
      </x:c>
      <x:c r="P423" s="26" t="n">
        <x:f>'500件商品'!R423</x:f>
        <x:v>21</x:v>
      </x:c>
      <x:c r="Q423" s="24" t="str">
        <x:f>IF(H423="否","非棧板管理",IF(AND(E423="是",N423&gt;0),"季節彈性前移區",IF(OR(C423="Cluster 3",D423&gt;=55),"近端低層棧板區",IF(C423="Cluster 2","中段大貨位",IF(C423="Cluster 4","遠端彈性儲位","中段棧板區")))))</x:f>
        <x:v>非棧板管理</x:v>
      </x:c>
      <x:c r="R423" s="24" t="str">
        <x:f>IF(AND(H423="是",E423="是",N423&gt;0),"是","否")</x:f>
        <x:v>否</x:v>
      </x:c>
      <x:c r="S423" s="24" t="str">
        <x:f>IF(H423="否","非本次棧板儲位分析對象",IF(R423="是","旺季前需前移並增加棧板位",IF(N423&gt;0,"需增加棧板位",IF(N423&lt;0,"可釋放部分棧板位","維持現況"))))</x:f>
        <x:v>非本次棧板儲位分析對象</x:v>
      </x:c>
    </x:row>
    <x:row r="424">
      <x:c r="A424" s="24" t="str">
        <x:f>'500件商品'!A424</x:f>
        <x:v>PX0420</x:v>
      </x:c>
      <x:c r="B424" s="24" t="str">
        <x:f>'500件商品'!B424</x:f>
        <x:v>寵物飼料5kg-家庭號</x:v>
      </x:c>
      <x:c r="C424" s="24" t="str">
        <x:f>'500件商品'!D424</x:f>
        <x:v>Cluster 2</x:v>
      </x:c>
      <x:c r="D424" s="26" t="n">
        <x:f>'500件商品'!F424</x:f>
        <x:v>22</x:v>
      </x:c>
      <x:c r="E424" s="24" t="str">
        <x:f>'500件商品'!K424</x:f>
        <x:v>否</x:v>
      </x:c>
      <x:c r="F424" s="24" t="str">
        <x:f>'500件商品'!L424</x:f>
      </x:c>
      <x:c r="G424" s="28" t="n">
        <x:f>'500件商品'!M424</x:f>
        <x:v>1</x:v>
      </x:c>
      <x:c r="H424" s="24" t="str">
        <x:f>'500件商品'!P424</x:f>
        <x:v>是</x:v>
      </x:c>
      <x:c r="I424" s="26" t="n">
        <x:f>'500件商品'!N424</x:f>
        <x:v>118</x:v>
      </x:c>
      <x:c r="J424" s="26" t="n">
        <x:f>'500件商品'!O424</x:f>
        <x:v>30</x:v>
      </x:c>
      <x:c r="K424" s="26" t="n">
        <x:f>IF(H424="是",CEILING(I424/J424,1),0)</x:f>
        <x:v>4</x:v>
      </x:c>
      <x:c r="L424" s="26" t="n">
        <x:f>ROUND(I424*G424,0)</x:f>
        <x:v>118</x:v>
      </x:c>
      <x:c r="M424" s="26" t="n">
        <x:f>IF(H424="是",CEILING(L424/J424,1),0)</x:f>
        <x:v>4</x:v>
      </x:c>
      <x:c r="N424" s="26" t="n">
        <x:f>M424-K424</x:f>
        <x:v>0</x:v>
      </x:c>
      <x:c r="O424" s="24" t="str">
        <x:f>'500件商品'!Q424</x:f>
        <x:v>遠端區</x:v>
      </x:c>
      <x:c r="P424" s="26" t="n">
        <x:f>'500件商品'!R424</x:f>
        <x:v>57</x:v>
      </x:c>
      <x:c r="Q424" s="24" t="str">
        <x:f>IF(H424="否","非棧板管理",IF(AND(E424="是",N424&gt;0),"季節彈性前移區",IF(OR(C424="Cluster 3",D424&gt;=55),"近端低層棧板區",IF(C424="Cluster 2","中段大貨位",IF(C424="Cluster 4","遠端彈性儲位","中段棧板區")))))</x:f>
        <x:v>中段大貨位</x:v>
      </x:c>
      <x:c r="R424" s="24" t="str">
        <x:f>IF(AND(H424="是",E424="是",N424&gt;0),"是","否")</x:f>
        <x:v>否</x:v>
      </x:c>
      <x:c r="S424" s="24" t="str">
        <x:f>IF(H424="否","非本次棧板儲位分析對象",IF(R424="是","旺季前需前移並增加棧板位",IF(N424&gt;0,"需增加棧板位",IF(N424&lt;0,"可釋放部分棧板位","維持現況"))))</x:f>
        <x:v>維持現況</x:v>
      </x:c>
    </x:row>
    <x:row r="425">
      <x:c r="A425" s="24" t="str">
        <x:f>'500件商品'!A425</x:f>
        <x:v>PX0421</x:v>
      </x:c>
      <x:c r="B425" s="24" t="str">
        <x:f>'500件商品'!B425</x:f>
        <x:v>寵物罐頭箱-小包裝</x:v>
      </x:c>
      <x:c r="C425" s="24" t="str">
        <x:f>'500件商品'!D425</x:f>
        <x:v>Cluster 5</x:v>
      </x:c>
      <x:c r="D425" s="26" t="n">
        <x:f>'500件商品'!F425</x:f>
        <x:v>54</x:v>
      </x:c>
      <x:c r="E425" s="24" t="str">
        <x:f>'500件商品'!K425</x:f>
        <x:v>否</x:v>
      </x:c>
      <x:c r="F425" s="24" t="str">
        <x:f>'500件商品'!L425</x:f>
      </x:c>
      <x:c r="G425" s="28" t="n">
        <x:f>'500件商品'!M425</x:f>
        <x:v>1</x:v>
      </x:c>
      <x:c r="H425" s="24" t="str">
        <x:f>'500件商品'!P425</x:f>
        <x:v>是</x:v>
      </x:c>
      <x:c r="I425" s="26" t="n">
        <x:f>'500件商品'!N425</x:f>
        <x:v>385</x:v>
      </x:c>
      <x:c r="J425" s="26" t="n">
        <x:f>'500件商品'!O425</x:f>
        <x:v>80</x:v>
      </x:c>
      <x:c r="K425" s="26" t="n">
        <x:f>IF(H425="是",CEILING(I425/J425,1),0)</x:f>
        <x:v>5</x:v>
      </x:c>
      <x:c r="L425" s="26" t="n">
        <x:f>ROUND(I425*G425,0)</x:f>
        <x:v>385</x:v>
      </x:c>
      <x:c r="M425" s="26" t="n">
        <x:f>IF(H425="是",CEILING(L425/J425,1),0)</x:f>
        <x:v>5</x:v>
      </x:c>
      <x:c r="N425" s="26" t="n">
        <x:f>M425-K425</x:f>
        <x:v>0</x:v>
      </x:c>
      <x:c r="O425" s="24" t="str">
        <x:f>'500件商品'!Q425</x:f>
        <x:v>遠端區</x:v>
      </x:c>
      <x:c r="P425" s="26" t="n">
        <x:f>'500件商品'!R425</x:f>
        <x:v>62</x:v>
      </x:c>
      <x:c r="Q425" s="24" t="str">
        <x:f>IF(H425="否","非棧板管理",IF(AND(E425="是",N425&gt;0),"季節彈性前移區",IF(OR(C425="Cluster 3",D425&gt;=55),"近端低層棧板區",IF(C425="Cluster 2","中段大貨位",IF(C425="Cluster 4","遠端彈性儲位","中段棧板區")))))</x:f>
        <x:v>中段棧板區</x:v>
      </x:c>
      <x:c r="R425" s="24" t="str">
        <x:f>IF(AND(H425="是",E425="是",N425&gt;0),"是","否")</x:f>
        <x:v>否</x:v>
      </x:c>
      <x:c r="S425" s="24" t="str">
        <x:f>IF(H425="否","非本次棧板儲位分析對象",IF(R425="是","旺季前需前移並增加棧板位",IF(N425&gt;0,"需增加棧板位",IF(N425&lt;0,"可釋放部分棧板位","維持現況"))))</x:f>
        <x:v>維持現況</x:v>
      </x:c>
    </x:row>
    <x:row r="426">
      <x:c r="A426" s="24" t="str">
        <x:f>'500件商品'!A426</x:f>
        <x:v>PX0422</x:v>
      </x:c>
      <x:c r="B426" s="24" t="str">
        <x:f>'500件商品'!B426</x:f>
        <x:v>成人紙尿褲-補充包</x:v>
      </x:c>
      <x:c r="C426" s="24" t="str">
        <x:f>'500件商品'!D426</x:f>
        <x:v>Cluster 2</x:v>
      </x:c>
      <x:c r="D426" s="26" t="n">
        <x:f>'500件商品'!F426</x:f>
        <x:v>28</x:v>
      </x:c>
      <x:c r="E426" s="24" t="str">
        <x:f>'500件商品'!K426</x:f>
        <x:v>否</x:v>
      </x:c>
      <x:c r="F426" s="24" t="str">
        <x:f>'500件商品'!L426</x:f>
      </x:c>
      <x:c r="G426" s="28" t="n">
        <x:f>'500件商品'!M426</x:f>
        <x:v>1</x:v>
      </x:c>
      <x:c r="H426" s="24" t="str">
        <x:f>'500件商品'!P426</x:f>
        <x:v>是</x:v>
      </x:c>
      <x:c r="I426" s="26" t="n">
        <x:f>'500件商品'!N426</x:f>
        <x:v>137</x:v>
      </x:c>
      <x:c r="J426" s="26" t="n">
        <x:f>'500件商品'!O426</x:f>
        <x:v>18</x:v>
      </x:c>
      <x:c r="K426" s="26" t="n">
        <x:f>IF(H426="是",CEILING(I426/J426,1),0)</x:f>
        <x:v>8</x:v>
      </x:c>
      <x:c r="L426" s="26" t="n">
        <x:f>ROUND(I426*G426,0)</x:f>
        <x:v>137</x:v>
      </x:c>
      <x:c r="M426" s="26" t="n">
        <x:f>IF(H426="是",CEILING(L426/J426,1),0)</x:f>
        <x:v>8</x:v>
      </x:c>
      <x:c r="N426" s="26" t="n">
        <x:f>M426-K426</x:f>
        <x:v>0</x:v>
      </x:c>
      <x:c r="O426" s="24" t="str">
        <x:f>'500件商品'!Q426</x:f>
        <x:v>3區</x:v>
      </x:c>
      <x:c r="P426" s="26" t="n">
        <x:f>'500件商品'!R426</x:f>
        <x:v>50</x:v>
      </x:c>
      <x:c r="Q426" s="24" t="str">
        <x:f>IF(H426="否","非棧板管理",IF(AND(E426="是",N426&gt;0),"季節彈性前移區",IF(OR(C426="Cluster 3",D426&gt;=55),"近端低層棧板區",IF(C426="Cluster 2","中段大貨位",IF(C426="Cluster 4","遠端彈性儲位","中段棧板區")))))</x:f>
        <x:v>中段大貨位</x:v>
      </x:c>
      <x:c r="R426" s="24" t="str">
        <x:f>IF(AND(H426="是",E426="是",N426&gt;0),"是","否")</x:f>
        <x:v>否</x:v>
      </x:c>
      <x:c r="S426" s="24" t="str">
        <x:f>IF(H426="否","非本次棧板儲位分析對象",IF(R426="是","旺季前需前移並增加棧板位",IF(N426&gt;0,"需增加棧板位",IF(N426&lt;0,"可釋放部分棧板位","維持現況"))))</x:f>
        <x:v>維持現況</x:v>
      </x:c>
    </x:row>
    <x:row r="427">
      <x:c r="A427" s="24" t="str">
        <x:f>'500件商品'!A427</x:f>
        <x:v>PX0423</x:v>
      </x:c>
      <x:c r="B427" s="24" t="str">
        <x:f>'500件商品'!B427</x:f>
        <x:v>雨衣組-箱裝</x:v>
      </x:c>
      <x:c r="C427" s="24" t="str">
        <x:f>'500件商品'!D427</x:f>
        <x:v>Cluster 4</x:v>
      </x:c>
      <x:c r="D427" s="26" t="n">
        <x:f>'500件商品'!F427</x:f>
        <x:v>8</x:v>
      </x:c>
      <x:c r="E427" s="24" t="str">
        <x:f>'500件商品'!K427</x:f>
        <x:v>是</x:v>
      </x:c>
      <x:c r="F427" s="24" t="str">
        <x:f>'500件商品'!L427</x:f>
        <x:v>5-8月</x:v>
      </x:c>
      <x:c r="G427" s="28" t="n">
        <x:f>'500件商品'!M427</x:f>
        <x:v>1.8</x:v>
      </x:c>
      <x:c r="H427" s="24" t="str">
        <x:f>'500件商品'!P427</x:f>
        <x:v>否</x:v>
      </x:c>
      <x:c r="I427" s="26" t="n">
        <x:f>'500件商品'!N427</x:f>
        <x:v>95</x:v>
      </x:c>
      <x:c r="J427" s="26" t="str">
        <x:f>'500件商品'!O427</x:f>
      </x:c>
      <x:c r="K427" s="26" t="n">
        <x:f>IF(H427="是",CEILING(I427/J427,1),0)</x:f>
        <x:v>0</x:v>
      </x:c>
      <x:c r="L427" s="26" t="n">
        <x:f>ROUND(I427*G427,0)</x:f>
        <x:v>171</x:v>
      </x:c>
      <x:c r="M427" s="26" t="n">
        <x:f>IF(H427="是",CEILING(L427/J427,1),0)</x:f>
        <x:v>0</x:v>
      </x:c>
      <x:c r="N427" s="26" t="n">
        <x:f>M427-K427</x:f>
        <x:v>0</x:v>
      </x:c>
      <x:c r="O427" s="24" t="str">
        <x:f>'500件商品'!Q427</x:f>
        <x:v>彈性區</x:v>
      </x:c>
      <x:c r="P427" s="26" t="n">
        <x:f>'500件商品'!R427</x:f>
        <x:v>49</x:v>
      </x:c>
      <x:c r="Q427" s="24" t="str">
        <x:f>IF(H427="否","非棧板管理",IF(AND(E427="是",N427&gt;0),"季節彈性前移區",IF(OR(C427="Cluster 3",D427&gt;=55),"近端低層棧板區",IF(C427="Cluster 2","中段大貨位",IF(C427="Cluster 4","遠端彈性儲位","中段棧板區")))))</x:f>
        <x:v>非棧板管理</x:v>
      </x:c>
      <x:c r="R427" s="24" t="str">
        <x:f>IF(AND(H427="是",E427="是",N427&gt;0),"是","否")</x:f>
        <x:v>否</x:v>
      </x:c>
      <x:c r="S427" s="24" t="str">
        <x:f>IF(H427="否","非本次棧板儲位分析對象",IF(R427="是","旺季前需前移並增加棧板位",IF(N427&gt;0,"需增加棧板位",IF(N427&lt;0,"可釋放部分棧板位","維持現況"))))</x:f>
        <x:v>非本次棧板儲位分析對象</x:v>
      </x:c>
    </x:row>
    <x:row r="428">
      <x:c r="A428" s="24" t="str">
        <x:f>'500件商品'!A428</x:f>
        <x:v>PX0424</x:v>
      </x:c>
      <x:c r="B428" s="24" t="str">
        <x:f>'500件商品'!B428</x:f>
        <x:v>沐浴乳-補充包</x:v>
      </x:c>
      <x:c r="C428" s="24" t="str">
        <x:f>'500件商品'!D428</x:f>
        <x:v>Cluster 3</x:v>
      </x:c>
      <x:c r="D428" s="26" t="n">
        <x:f>'500件商品'!F428</x:f>
        <x:v>79</x:v>
      </x:c>
      <x:c r="E428" s="24" t="str">
        <x:f>'500件商品'!K428</x:f>
        <x:v>否</x:v>
      </x:c>
      <x:c r="F428" s="24" t="str">
        <x:f>'500件商品'!L428</x:f>
      </x:c>
      <x:c r="G428" s="28" t="n">
        <x:f>'500件商品'!M428</x:f>
        <x:v>1</x:v>
      </x:c>
      <x:c r="H428" s="24" t="str">
        <x:f>'500件商品'!P428</x:f>
        <x:v>是</x:v>
      </x:c>
      <x:c r="I428" s="26" t="n">
        <x:f>'500件商品'!N428</x:f>
        <x:v>427</x:v>
      </x:c>
      <x:c r="J428" s="26" t="n">
        <x:f>'500件商品'!O428</x:f>
        <x:v>60</x:v>
      </x:c>
      <x:c r="K428" s="26" t="n">
        <x:f>IF(H428="是",CEILING(I428/J428,1),0)</x:f>
        <x:v>8</x:v>
      </x:c>
      <x:c r="L428" s="26" t="n">
        <x:f>ROUND(I428*G428,0)</x:f>
        <x:v>427</x:v>
      </x:c>
      <x:c r="M428" s="26" t="n">
        <x:f>IF(H428="是",CEILING(L428/J428,1),0)</x:f>
        <x:v>8</x:v>
      </x:c>
      <x:c r="N428" s="26" t="n">
        <x:f>M428-K428</x:f>
        <x:v>0</x:v>
      </x:c>
      <x:c r="O428" s="24" t="str">
        <x:f>'500件商品'!Q428</x:f>
        <x:v>1區</x:v>
      </x:c>
      <x:c r="P428" s="26" t="n">
        <x:f>'500件商品'!R428</x:f>
        <x:v>37</x:v>
      </x:c>
      <x:c r="Q428" s="24" t="str">
        <x:f>IF(H428="否","非棧板管理",IF(AND(E428="是",N428&gt;0),"季節彈性前移區",IF(OR(C428="Cluster 3",D428&gt;=55),"近端低層棧板區",IF(C428="Cluster 2","中段大貨位",IF(C428="Cluster 4","遠端彈性儲位","中段棧板區")))))</x:f>
        <x:v>近端低層棧板區</x:v>
      </x:c>
      <x:c r="R428" s="24" t="str">
        <x:f>IF(AND(H428="是",E428="是",N428&gt;0),"是","否")</x:f>
        <x:v>否</x:v>
      </x:c>
      <x:c r="S428" s="24" t="str">
        <x:f>IF(H428="否","非本次棧板儲位分析對象",IF(R428="是","旺季前需前移並增加棧板位",IF(N428&gt;0,"需增加棧板位",IF(N428&lt;0,"可釋放部分棧板位","維持現況"))))</x:f>
        <x:v>維持現況</x:v>
      </x:c>
    </x:row>
    <x:row r="429">
      <x:c r="A429" s="24" t="str">
        <x:f>'500件商品'!A429</x:f>
        <x:v>PX0425</x:v>
      </x:c>
      <x:c r="B429" s="24" t="str">
        <x:f>'500件商品'!B429</x:f>
        <x:v>泡麵箱-促銷組</x:v>
      </x:c>
      <x:c r="C429" s="24" t="str">
        <x:f>'500件商品'!D429</x:f>
        <x:v>Cluster 5</x:v>
      </x:c>
      <x:c r="D429" s="26" t="n">
        <x:f>'500件商品'!F429</x:f>
        <x:v>48</x:v>
      </x:c>
      <x:c r="E429" s="24" t="str">
        <x:f>'500件商品'!K429</x:f>
        <x:v>否</x:v>
      </x:c>
      <x:c r="F429" s="24" t="str">
        <x:f>'500件商品'!L429</x:f>
      </x:c>
      <x:c r="G429" s="28" t="n">
        <x:f>'500件商品'!M429</x:f>
        <x:v>1.1</x:v>
      </x:c>
      <x:c r="H429" s="24" t="str">
        <x:f>'500件商品'!P429</x:f>
        <x:v>是</x:v>
      </x:c>
      <x:c r="I429" s="26" t="n">
        <x:f>'500件商品'!N429</x:f>
        <x:v>211</x:v>
      </x:c>
      <x:c r="J429" s="26" t="n">
        <x:f>'500件商品'!O429</x:f>
        <x:v>48</x:v>
      </x:c>
      <x:c r="K429" s="26" t="n">
        <x:f>IF(H429="是",CEILING(I429/J429,1),0)</x:f>
        <x:v>5</x:v>
      </x:c>
      <x:c r="L429" s="26" t="n">
        <x:f>ROUND(I429*G429,0)</x:f>
        <x:v>232</x:v>
      </x:c>
      <x:c r="M429" s="26" t="n">
        <x:f>IF(H429="是",CEILING(L429/J429,1),0)</x:f>
        <x:v>5</x:v>
      </x:c>
      <x:c r="N429" s="26" t="n">
        <x:f>M429-K429</x:f>
        <x:v>0</x:v>
      </x:c>
      <x:c r="O429" s="24" t="str">
        <x:f>'500件商品'!Q429</x:f>
        <x:v>3區</x:v>
      </x:c>
      <x:c r="P429" s="26" t="n">
        <x:f>'500件商品'!R429</x:f>
        <x:v>49</x:v>
      </x:c>
      <x:c r="Q429" s="24" t="str">
        <x:f>IF(H429="否","非棧板管理",IF(AND(E429="是",N429&gt;0),"季節彈性前移區",IF(OR(C429="Cluster 3",D429&gt;=55),"近端低層棧板區",IF(C429="Cluster 2","中段大貨位",IF(C429="Cluster 4","遠端彈性儲位","中段棧板區")))))</x:f>
        <x:v>中段棧板區</x:v>
      </x:c>
      <x:c r="R429" s="24" t="str">
        <x:f>IF(AND(H429="是",E429="是",N429&gt;0),"是","否")</x:f>
        <x:v>否</x:v>
      </x:c>
      <x:c r="S429" s="24" t="str">
        <x:f>IF(H429="否","非本次棧板儲位分析對象",IF(R429="是","旺季前需前移並增加棧板位",IF(N429&gt;0,"需增加棧板位",IF(N429&lt;0,"可釋放部分棧板位","維持現況"))))</x:f>
        <x:v>維持現況</x:v>
      </x:c>
    </x:row>
    <x:row r="430">
      <x:c r="A430" s="24" t="str">
        <x:f>'500件商品'!A430</x:f>
        <x:v>PX0426</x:v>
      </x:c>
      <x:c r="B430" s="24" t="str">
        <x:f>'500件商品'!B430</x:f>
        <x:v>抽取式衛生紙-促銷組</x:v>
      </x:c>
      <x:c r="C430" s="24" t="str">
        <x:f>'500件商品'!D430</x:f>
        <x:v>Cluster 2</x:v>
      </x:c>
      <x:c r="D430" s="26" t="n">
        <x:f>'500件商品'!F430</x:f>
        <x:v>8</x:v>
      </x:c>
      <x:c r="E430" s="24" t="str">
        <x:f>'500件商品'!K430</x:f>
        <x:v>否</x:v>
      </x:c>
      <x:c r="F430" s="24" t="str">
        <x:f>'500件商品'!L430</x:f>
      </x:c>
      <x:c r="G430" s="28" t="n">
        <x:f>'500件商品'!M430</x:f>
        <x:v>1</x:v>
      </x:c>
      <x:c r="H430" s="24" t="str">
        <x:f>'500件商品'!P430</x:f>
        <x:v>是</x:v>
      </x:c>
      <x:c r="I430" s="26" t="n">
        <x:f>'500件商品'!N430</x:f>
        <x:v>59</x:v>
      </x:c>
      <x:c r="J430" s="26" t="n">
        <x:f>'500件商品'!O430</x:f>
        <x:v>20</x:v>
      </x:c>
      <x:c r="K430" s="26" t="n">
        <x:f>IF(H430="是",CEILING(I430/J430,1),0)</x:f>
        <x:v>3</x:v>
      </x:c>
      <x:c r="L430" s="26" t="n">
        <x:f>ROUND(I430*G430,0)</x:f>
        <x:v>59</x:v>
      </x:c>
      <x:c r="M430" s="26" t="n">
        <x:f>IF(H430="是",CEILING(L430/J430,1),0)</x:f>
        <x:v>3</x:v>
      </x:c>
      <x:c r="N430" s="26" t="n">
        <x:f>M430-K430</x:f>
        <x:v>0</x:v>
      </x:c>
      <x:c r="O430" s="24" t="str">
        <x:f>'500件商品'!Q430</x:f>
        <x:v>彈性區</x:v>
      </x:c>
      <x:c r="P430" s="26" t="n">
        <x:f>'500件商品'!R430</x:f>
        <x:v>55</x:v>
      </x:c>
      <x:c r="Q430" s="24" t="str">
        <x:f>IF(H430="否","非棧板管理",IF(AND(E430="是",N430&gt;0),"季節彈性前移區",IF(OR(C430="Cluster 3",D430&gt;=55),"近端低層棧板區",IF(C430="Cluster 2","中段大貨位",IF(C430="Cluster 4","遠端彈性儲位","中段棧板區")))))</x:f>
        <x:v>中段大貨位</x:v>
      </x:c>
      <x:c r="R430" s="24" t="str">
        <x:f>IF(AND(H430="是",E430="是",N430&gt;0),"是","否")</x:f>
        <x:v>否</x:v>
      </x:c>
      <x:c r="S430" s="24" t="str">
        <x:f>IF(H430="否","非本次棧板儲位分析對象",IF(R430="是","旺季前需前移並增加棧板位",IF(N430&gt;0,"需增加棧板位",IF(N430&lt;0,"可釋放部分棧板位","維持現況"))))</x:f>
        <x:v>維持現況</x:v>
      </x:c>
    </x:row>
    <x:row r="431">
      <x:c r="A431" s="24" t="str">
        <x:f>'500件商品'!A431</x:f>
        <x:v>PX0427</x:v>
      </x:c>
      <x:c r="B431" s="24" t="str">
        <x:f>'500件商品'!B431</x:f>
        <x:v>標籤紙卷-箱裝</x:v>
      </x:c>
      <x:c r="C431" s="24" t="str">
        <x:f>'500件商品'!D431</x:f>
        <x:v>Cluster 2</x:v>
      </x:c>
      <x:c r="D431" s="26" t="n">
        <x:f>'500件商品'!F431</x:f>
        <x:v>5</x:v>
      </x:c>
      <x:c r="E431" s="24" t="str">
        <x:f>'500件商品'!K431</x:f>
        <x:v>否</x:v>
      </x:c>
      <x:c r="F431" s="24" t="str">
        <x:f>'500件商品'!L431</x:f>
      </x:c>
      <x:c r="G431" s="28" t="n">
        <x:f>'500件商品'!M431</x:f>
        <x:v>1</x:v>
      </x:c>
      <x:c r="H431" s="24" t="str">
        <x:f>'500件商品'!P431</x:f>
        <x:v>是</x:v>
      </x:c>
      <x:c r="I431" s="26" t="n">
        <x:f>'500件商品'!N431</x:f>
        <x:v>36</x:v>
      </x:c>
      <x:c r="J431" s="26" t="n">
        <x:f>'500件商品'!O431</x:f>
        <x:v>30</x:v>
      </x:c>
      <x:c r="K431" s="26" t="n">
        <x:f>IF(H431="是",CEILING(I431/J431,1),0)</x:f>
        <x:v>2</x:v>
      </x:c>
      <x:c r="L431" s="26" t="n">
        <x:f>ROUND(I431*G431,0)</x:f>
        <x:v>36</x:v>
      </x:c>
      <x:c r="M431" s="26" t="n">
        <x:f>IF(H431="是",CEILING(L431/J431,1),0)</x:f>
        <x:v>2</x:v>
      </x:c>
      <x:c r="N431" s="26" t="n">
        <x:f>M431-K431</x:f>
        <x:v>0</x:v>
      </x:c>
      <x:c r="O431" s="24" t="str">
        <x:f>'500件商品'!Q431</x:f>
        <x:v>遠端區</x:v>
      </x:c>
      <x:c r="P431" s="26" t="n">
        <x:f>'500件商品'!R431</x:f>
        <x:v>60</x:v>
      </x:c>
      <x:c r="Q431" s="24" t="str">
        <x:f>IF(H431="否","非棧板管理",IF(AND(E431="是",N431&gt;0),"季節彈性前移區",IF(OR(C431="Cluster 3",D431&gt;=55),"近端低層棧板區",IF(C431="Cluster 2","中段大貨位",IF(C431="Cluster 4","遠端彈性儲位","中段棧板區")))))</x:f>
        <x:v>中段大貨位</x:v>
      </x:c>
      <x:c r="R431" s="24" t="str">
        <x:f>IF(AND(H431="是",E431="是",N431&gt;0),"是","否")</x:f>
        <x:v>否</x:v>
      </x:c>
      <x:c r="S431" s="24" t="str">
        <x:f>IF(H431="否","非本次棧板儲位分析對象",IF(R431="是","旺季前需前移並增加棧板位",IF(N431&gt;0,"需增加棧板位",IF(N431&lt;0,"可釋放部分棧板位","維持現況"))))</x:f>
        <x:v>維持現況</x:v>
      </x:c>
    </x:row>
    <x:row r="432">
      <x:c r="A432" s="24" t="str">
        <x:f>'500件商品'!A432</x:f>
        <x:v>PX0428</x:v>
      </x:c>
      <x:c r="B432" s="24" t="str">
        <x:f>'500件商品'!B432</x:f>
        <x:v>中秋禮盒-補充包</x:v>
      </x:c>
      <x:c r="C432" s="24" t="str">
        <x:f>'500件商品'!D432</x:f>
        <x:v>Cluster 4</x:v>
      </x:c>
      <x:c r="D432" s="26" t="n">
        <x:f>'500件商品'!F432</x:f>
        <x:v>12</x:v>
      </x:c>
      <x:c r="E432" s="24" t="str">
        <x:f>'500件商品'!K432</x:f>
        <x:v>是</x:v>
      </x:c>
      <x:c r="F432" s="24" t="str">
        <x:f>'500件商品'!L432</x:f>
        <x:v>1-2月</x:v>
      </x:c>
      <x:c r="G432" s="28" t="n">
        <x:f>'500件商品'!M432</x:f>
        <x:v>2.5</x:v>
      </x:c>
      <x:c r="H432" s="24" t="str">
        <x:f>'500件商品'!P432</x:f>
        <x:v>是</x:v>
      </x:c>
      <x:c r="I432" s="26" t="n">
        <x:f>'500件商品'!N432</x:f>
        <x:v>199</x:v>
      </x:c>
      <x:c r="J432" s="26" t="n">
        <x:f>'500件商品'!O432</x:f>
        <x:v>24</x:v>
      </x:c>
      <x:c r="K432" s="26" t="n">
        <x:f>IF(H432="是",CEILING(I432/J432,1),0)</x:f>
        <x:v>9</x:v>
      </x:c>
      <x:c r="L432" s="26" t="n">
        <x:f>ROUND(I432*G432,0)</x:f>
        <x:v>498</x:v>
      </x:c>
      <x:c r="M432" s="26" t="n">
        <x:f>IF(H432="是",CEILING(L432/J432,1),0)</x:f>
        <x:v>21</x:v>
      </x:c>
      <x:c r="N432" s="26" t="n">
        <x:f>M432-K432</x:f>
        <x:v>12</x:v>
      </x:c>
      <x:c r="O432" s="24" t="str">
        <x:f>'500件商品'!Q432</x:f>
        <x:v>A區</x:v>
      </x:c>
      <x:c r="P432" s="26" t="n">
        <x:f>'500件商品'!R432</x:f>
        <x:v>38</x:v>
      </x:c>
      <x:c r="Q432" s="24" t="str">
        <x:f>IF(H432="否","非棧板管理",IF(AND(E432="是",N432&gt;0),"季節彈性前移區",IF(OR(C432="Cluster 3",D432&gt;=55),"近端低層棧板區",IF(C432="Cluster 2","中段大貨位",IF(C432="Cluster 4","遠端彈性儲位","中段棧板區")))))</x:f>
        <x:v>季節彈性前移區</x:v>
      </x:c>
      <x:c r="R432" s="24" t="str">
        <x:f>IF(AND(H432="是",E432="是",N432&gt;0),"是","否")</x:f>
        <x:v>是</x:v>
      </x:c>
      <x:c r="S432" s="24" t="str">
        <x:f>IF(H432="否","非本次棧板儲位分析對象",IF(R432="是","旺季前需前移並增加棧板位",IF(N432&gt;0,"需增加棧板位",IF(N432&lt;0,"可釋放部分棧板位","維持現況"))))</x:f>
        <x:v>旺季前需前移並增加棧板位</x:v>
      </x:c>
    </x:row>
    <x:row r="433">
      <x:c r="A433" s="24" t="str">
        <x:f>'500件商品'!A433</x:f>
        <x:v>PX0429</x:v>
      </x:c>
      <x:c r="B433" s="24" t="str">
        <x:f>'500件商品'!B433</x:f>
        <x:v>洗碗精-補充包</x:v>
      </x:c>
      <x:c r="C433" s="24" t="str">
        <x:f>'500件商品'!D433</x:f>
        <x:v>Cluster 3</x:v>
      </x:c>
      <x:c r="D433" s="26" t="n">
        <x:f>'500件商品'!F433</x:f>
        <x:v>59</x:v>
      </x:c>
      <x:c r="E433" s="24" t="str">
        <x:f>'500件商品'!K433</x:f>
        <x:v>否</x:v>
      </x:c>
      <x:c r="F433" s="24" t="str">
        <x:f>'500件商品'!L433</x:f>
      </x:c>
      <x:c r="G433" s="28" t="n">
        <x:f>'500件商品'!M433</x:f>
        <x:v>1</x:v>
      </x:c>
      <x:c r="H433" s="24" t="str">
        <x:f>'500件商品'!P433</x:f>
        <x:v>是</x:v>
      </x:c>
      <x:c r="I433" s="26" t="n">
        <x:f>'500件商品'!N433</x:f>
        <x:v>357</x:v>
      </x:c>
      <x:c r="J433" s="26" t="n">
        <x:f>'500件商品'!O433</x:f>
        <x:v>72</x:v>
      </x:c>
      <x:c r="K433" s="26" t="n">
        <x:f>IF(H433="是",CEILING(I433/J433,1),0)</x:f>
        <x:v>5</x:v>
      </x:c>
      <x:c r="L433" s="26" t="n">
        <x:f>ROUND(I433*G433,0)</x:f>
        <x:v>357</x:v>
      </x:c>
      <x:c r="M433" s="26" t="n">
        <x:f>IF(H433="是",CEILING(L433/J433,1),0)</x:f>
        <x:v>5</x:v>
      </x:c>
      <x:c r="N433" s="26" t="n">
        <x:f>M433-K433</x:f>
        <x:v>0</x:v>
      </x:c>
      <x:c r="O433" s="24" t="str">
        <x:f>'500件商品'!Q433</x:f>
        <x:v>彈性區</x:v>
      </x:c>
      <x:c r="P433" s="26" t="n">
        <x:f>'500件商品'!R433</x:f>
        <x:v>58</x:v>
      </x:c>
      <x:c r="Q433" s="24" t="str">
        <x:f>IF(H433="否","非棧板管理",IF(AND(E433="是",N433&gt;0),"季節彈性前移區",IF(OR(C433="Cluster 3",D433&gt;=55),"近端低層棧板區",IF(C433="Cluster 2","中段大貨位",IF(C433="Cluster 4","遠端彈性儲位","中段棧板區")))))</x:f>
        <x:v>近端低層棧板區</x:v>
      </x:c>
      <x:c r="R433" s="24" t="str">
        <x:f>IF(AND(H433="是",E433="是",N433&gt;0),"是","否")</x:f>
        <x:v>否</x:v>
      </x:c>
      <x:c r="S433" s="24" t="str">
        <x:f>IF(H433="否","非本次棧板儲位分析對象",IF(R433="是","旺季前需前移並增加棧板位",IF(N433&gt;0,"需增加棧板位",IF(N433&lt;0,"可釋放部分棧板位","維持現況"))))</x:f>
        <x:v>維持現況</x:v>
      </x:c>
    </x:row>
    <x:row r="434">
      <x:c r="A434" s="24" t="str">
        <x:f>'500件商品'!A434</x:f>
        <x:v>PX0430</x:v>
      </x:c>
      <x:c r="B434" s="24" t="str">
        <x:f>'500件商品'!B434</x:f>
        <x:v>尿布箱-促銷組</x:v>
      </x:c>
      <x:c r="C434" s="24" t="str">
        <x:f>'500件商品'!D434</x:f>
        <x:v>Cluster 2</x:v>
      </x:c>
      <x:c r="D434" s="26" t="n">
        <x:f>'500件商品'!F434</x:f>
        <x:v>21</x:v>
      </x:c>
      <x:c r="E434" s="24" t="str">
        <x:f>'500件商品'!K434</x:f>
        <x:v>否</x:v>
      </x:c>
      <x:c r="F434" s="24" t="str">
        <x:f>'500件商品'!L434</x:f>
      </x:c>
      <x:c r="G434" s="28" t="n">
        <x:f>'500件商品'!M434</x:f>
        <x:v>1</x:v>
      </x:c>
      <x:c r="H434" s="24" t="str">
        <x:f>'500件商品'!P434</x:f>
        <x:v>是</x:v>
      </x:c>
      <x:c r="I434" s="26" t="n">
        <x:f>'500件商品'!N434</x:f>
        <x:v>136</x:v>
      </x:c>
      <x:c r="J434" s="26" t="n">
        <x:f>'500件商品'!O434</x:f>
        <x:v>18</x:v>
      </x:c>
      <x:c r="K434" s="26" t="n">
        <x:f>IF(H434="是",CEILING(I434/J434,1),0)</x:f>
        <x:v>8</x:v>
      </x:c>
      <x:c r="L434" s="26" t="n">
        <x:f>ROUND(I434*G434,0)</x:f>
        <x:v>136</x:v>
      </x:c>
      <x:c r="M434" s="26" t="n">
        <x:f>IF(H434="是",CEILING(L434/J434,1),0)</x:f>
        <x:v>8</x:v>
      </x:c>
      <x:c r="N434" s="26" t="n">
        <x:f>M434-K434</x:f>
        <x:v>0</x:v>
      </x:c>
      <x:c r="O434" s="24" t="str">
        <x:f>'500件商品'!Q434</x:f>
        <x:v>3區</x:v>
      </x:c>
      <x:c r="P434" s="26" t="n">
        <x:f>'500件商品'!R434</x:f>
        <x:v>43</x:v>
      </x:c>
      <x:c r="Q434" s="24" t="str">
        <x:f>IF(H434="否","非棧板管理",IF(AND(E434="是",N434&gt;0),"季節彈性前移區",IF(OR(C434="Cluster 3",D434&gt;=55),"近端低層棧板區",IF(C434="Cluster 2","中段大貨位",IF(C434="Cluster 4","遠端彈性儲位","中段棧板區")))))</x:f>
        <x:v>中段大貨位</x:v>
      </x:c>
      <x:c r="R434" s="24" t="str">
        <x:f>IF(AND(H434="是",E434="是",N434&gt;0),"是","否")</x:f>
        <x:v>否</x:v>
      </x:c>
      <x:c r="S434" s="24" t="str">
        <x:f>IF(H434="否","非本次棧板儲位分析對象",IF(R434="是","旺季前需前移並增加棧板位",IF(N434&gt;0,"需增加棧板位",IF(N434&lt;0,"可釋放部分棧板位","維持現況"))))</x:f>
        <x:v>維持現況</x:v>
      </x:c>
    </x:row>
    <x:row r="435">
      <x:c r="A435" s="24" t="str">
        <x:f>'500件商品'!A435</x:f>
        <x:v>PX0431</x:v>
      </x:c>
      <x:c r="B435" s="24" t="str">
        <x:f>'500件商品'!B435</x:f>
        <x:v>麥片箱-標準箱</x:v>
      </x:c>
      <x:c r="C435" s="24" t="str">
        <x:f>'500件商品'!D435</x:f>
        <x:v>Cluster 5</x:v>
      </x:c>
      <x:c r="D435" s="26" t="n">
        <x:f>'500件商品'!F435</x:f>
        <x:v>54</x:v>
      </x:c>
      <x:c r="E435" s="24" t="str">
        <x:f>'500件商品'!K435</x:f>
        <x:v>否</x:v>
      </x:c>
      <x:c r="F435" s="24" t="str">
        <x:f>'500件商品'!L435</x:f>
      </x:c>
      <x:c r="G435" s="28" t="n">
        <x:f>'500件商品'!M435</x:f>
        <x:v>1.1</x:v>
      </x:c>
      <x:c r="H435" s="24" t="str">
        <x:f>'500件商品'!P435</x:f>
        <x:v>是</x:v>
      </x:c>
      <x:c r="I435" s="26" t="n">
        <x:f>'500件商品'!N435</x:f>
        <x:v>258</x:v>
      </x:c>
      <x:c r="J435" s="26" t="n">
        <x:f>'500件商品'!O435</x:f>
        <x:v>80</x:v>
      </x:c>
      <x:c r="K435" s="26" t="n">
        <x:f>IF(H435="是",CEILING(I435/J435,1),0)</x:f>
        <x:v>4</x:v>
      </x:c>
      <x:c r="L435" s="26" t="n">
        <x:f>ROUND(I435*G435,0)</x:f>
        <x:v>284</x:v>
      </x:c>
      <x:c r="M435" s="26" t="n">
        <x:f>IF(H435="是",CEILING(L435/J435,1),0)</x:f>
        <x:v>4</x:v>
      </x:c>
      <x:c r="N435" s="26" t="n">
        <x:f>M435-K435</x:f>
        <x:v>0</x:v>
      </x:c>
      <x:c r="O435" s="24" t="str">
        <x:f>'500件商品'!Q435</x:f>
        <x:v>彈性區</x:v>
      </x:c>
      <x:c r="P435" s="26" t="n">
        <x:f>'500件商品'!R435</x:f>
        <x:v>54</x:v>
      </x:c>
      <x:c r="Q435" s="24" t="str">
        <x:f>IF(H435="否","非棧板管理",IF(AND(E435="是",N435&gt;0),"季節彈性前移區",IF(OR(C435="Cluster 3",D435&gt;=55),"近端低層棧板區",IF(C435="Cluster 2","中段大貨位",IF(C435="Cluster 4","遠端彈性儲位","中段棧板區")))))</x:f>
        <x:v>中段棧板區</x:v>
      </x:c>
      <x:c r="R435" s="24" t="str">
        <x:f>IF(AND(H435="是",E435="是",N435&gt;0),"是","否")</x:f>
        <x:v>否</x:v>
      </x:c>
      <x:c r="S435" s="24" t="str">
        <x:f>IF(H435="否","非本次棧板儲位分析對象",IF(R435="是","旺季前需前移並增加棧板位",IF(N435&gt;0,"需增加棧板位",IF(N435&lt;0,"可釋放部分棧板位","維持現況"))))</x:f>
        <x:v>維持現況</x:v>
      </x:c>
    </x:row>
    <x:row r="436">
      <x:c r="A436" s="24" t="str">
        <x:f>'500件商品'!A436</x:f>
        <x:v>PX0432</x:v>
      </x:c>
      <x:c r="B436" s="24" t="str">
        <x:f>'500件商品'!B436</x:f>
        <x:v>束帶組-小包裝</x:v>
      </x:c>
      <x:c r="C436" s="24" t="str">
        <x:f>'500件商品'!D436</x:f>
        <x:v>Cluster 5</x:v>
      </x:c>
      <x:c r="D436" s="26" t="n">
        <x:f>'500件商品'!F436</x:f>
        <x:v>46</x:v>
      </x:c>
      <x:c r="E436" s="24" t="str">
        <x:f>'500件商品'!K436</x:f>
        <x:v>否</x:v>
      </x:c>
      <x:c r="F436" s="24" t="str">
        <x:f>'500件商品'!L436</x:f>
      </x:c>
      <x:c r="G436" s="28" t="n">
        <x:f>'500件商品'!M436</x:f>
        <x:v>1</x:v>
      </x:c>
      <x:c r="H436" s="24" t="str">
        <x:f>'500件商品'!P436</x:f>
        <x:v>是</x:v>
      </x:c>
      <x:c r="I436" s="26" t="n">
        <x:f>'500件商品'!N436</x:f>
        <x:v>503</x:v>
      </x:c>
      <x:c r="J436" s="26" t="n">
        <x:f>'500件商品'!O436</x:f>
        <x:v>48</x:v>
      </x:c>
      <x:c r="K436" s="26" t="n">
        <x:f>IF(H436="是",CEILING(I436/J436,1),0)</x:f>
        <x:v>11</x:v>
      </x:c>
      <x:c r="L436" s="26" t="n">
        <x:f>ROUND(I436*G436,0)</x:f>
        <x:v>503</x:v>
      </x:c>
      <x:c r="M436" s="26" t="n">
        <x:f>IF(H436="是",CEILING(L436/J436,1),0)</x:f>
        <x:v>11</x:v>
      </x:c>
      <x:c r="N436" s="26" t="n">
        <x:f>M436-K436</x:f>
        <x:v>0</x:v>
      </x:c>
      <x:c r="O436" s="24" t="str">
        <x:f>'500件商品'!Q436</x:f>
        <x:v>遠端區</x:v>
      </x:c>
      <x:c r="P436" s="26" t="n">
        <x:f>'500件商品'!R436</x:f>
        <x:v>74</x:v>
      </x:c>
      <x:c r="Q436" s="24" t="str">
        <x:f>IF(H436="否","非棧板管理",IF(AND(E436="是",N436&gt;0),"季節彈性前移區",IF(OR(C436="Cluster 3",D436&gt;=55),"近端低層棧板區",IF(C436="Cluster 2","中段大貨位",IF(C436="Cluster 4","遠端彈性儲位","中段棧板區")))))</x:f>
        <x:v>中段棧板區</x:v>
      </x:c>
      <x:c r="R436" s="24" t="str">
        <x:f>IF(AND(H436="是",E436="是",N436&gt;0),"是","否")</x:f>
        <x:v>否</x:v>
      </x:c>
      <x:c r="S436" s="24" t="str">
        <x:f>IF(H436="否","非本次棧板儲位分析對象",IF(R436="是","旺季前需前移並增加棧板位",IF(N436&gt;0,"需增加棧板位",IF(N436&lt;0,"可釋放部分棧板位","維持現況"))))</x:f>
        <x:v>維持現況</x:v>
      </x:c>
    </x:row>
    <x:row r="437">
      <x:c r="A437" s="24" t="str">
        <x:f>'500件商品'!A437</x:f>
        <x:v>PX0433</x:v>
      </x:c>
      <x:c r="B437" s="24" t="str">
        <x:f>'500件商品'!B437</x:f>
        <x:v>洗碗精-小包裝</x:v>
      </x:c>
      <x:c r="C437" s="24" t="str">
        <x:f>'500件商品'!D437</x:f>
        <x:v>Cluster 4</x:v>
      </x:c>
      <x:c r="D437" s="26" t="n">
        <x:f>'500件商品'!F437</x:f>
        <x:v>19</x:v>
      </x:c>
      <x:c r="E437" s="24" t="str">
        <x:f>'500件商品'!K437</x:f>
        <x:v>是</x:v>
      </x:c>
      <x:c r="F437" s="24" t="str">
        <x:f>'500件商品'!L437</x:f>
        <x:v>旺季</x:v>
      </x:c>
      <x:c r="G437" s="28" t="n">
        <x:f>'500件商品'!M437</x:f>
        <x:v>1.8</x:v>
      </x:c>
      <x:c r="H437" s="24" t="str">
        <x:f>'500件商品'!P437</x:f>
        <x:v>是</x:v>
      </x:c>
      <x:c r="I437" s="26" t="n">
        <x:f>'500件商品'!N437</x:f>
        <x:v>199</x:v>
      </x:c>
      <x:c r="J437" s="26" t="n">
        <x:f>'500件商品'!O437</x:f>
        <x:v>48</x:v>
      </x:c>
      <x:c r="K437" s="26" t="n">
        <x:f>IF(H437="是",CEILING(I437/J437,1),0)</x:f>
        <x:v>5</x:v>
      </x:c>
      <x:c r="L437" s="26" t="n">
        <x:f>ROUND(I437*G437,0)</x:f>
        <x:v>358</x:v>
      </x:c>
      <x:c r="M437" s="26" t="n">
        <x:f>IF(H437="是",CEILING(L437/J437,1),0)</x:f>
        <x:v>8</x:v>
      </x:c>
      <x:c r="N437" s="26" t="n">
        <x:f>M437-K437</x:f>
        <x:v>3</x:v>
      </x:c>
      <x:c r="O437" s="24" t="str">
        <x:f>'500件商品'!Q437</x:f>
        <x:v>彈性區</x:v>
      </x:c>
      <x:c r="P437" s="26" t="n">
        <x:f>'500件商品'!R437</x:f>
        <x:v>60</x:v>
      </x:c>
      <x:c r="Q437" s="24" t="str">
        <x:f>IF(H437="否","非棧板管理",IF(AND(E437="是",N437&gt;0),"季節彈性前移區",IF(OR(C437="Cluster 3",D437&gt;=55),"近端低層棧板區",IF(C437="Cluster 2","中段大貨位",IF(C437="Cluster 4","遠端彈性儲位","中段棧板區")))))</x:f>
        <x:v>季節彈性前移區</x:v>
      </x:c>
      <x:c r="R437" s="24" t="str">
        <x:f>IF(AND(H437="是",E437="是",N437&gt;0),"是","否")</x:f>
        <x:v>是</x:v>
      </x:c>
      <x:c r="S437" s="24" t="str">
        <x:f>IF(H437="否","非本次棧板儲位分析對象",IF(R437="是","旺季前需前移並增加棧板位",IF(N437&gt;0,"需增加棧板位",IF(N437&lt;0,"可釋放部分棧板位","維持現況"))))</x:f>
        <x:v>旺季前需前移並增加棧板位</x:v>
      </x:c>
    </x:row>
    <x:row r="438">
      <x:c r="A438" s="24" t="str">
        <x:f>'500件商品'!A438</x:f>
        <x:v>PX0434</x:v>
      </x:c>
      <x:c r="B438" s="24" t="str">
        <x:f>'500件商品'!B438</x:f>
        <x:v>罐頭食品-家庭號</x:v>
      </x:c>
      <x:c r="C438" s="24" t="str">
        <x:f>'500件商品'!D438</x:f>
        <x:v>Cluster 2</x:v>
      </x:c>
      <x:c r="D438" s="26" t="n">
        <x:f>'500件商品'!F438</x:f>
        <x:v>22</x:v>
      </x:c>
      <x:c r="E438" s="24" t="str">
        <x:f>'500件商品'!K438</x:f>
        <x:v>否</x:v>
      </x:c>
      <x:c r="F438" s="24" t="str">
        <x:f>'500件商品'!L438</x:f>
      </x:c>
      <x:c r="G438" s="28" t="n">
        <x:f>'500件商品'!M438</x:f>
        <x:v>1.1</x:v>
      </x:c>
      <x:c r="H438" s="24" t="str">
        <x:f>'500件商品'!P438</x:f>
        <x:v>是</x:v>
      </x:c>
      <x:c r="I438" s="26" t="n">
        <x:f>'500件商品'!N438</x:f>
        <x:v>70</x:v>
      </x:c>
      <x:c r="J438" s="26" t="n">
        <x:f>'500件商品'!O438</x:f>
        <x:v>18</x:v>
      </x:c>
      <x:c r="K438" s="26" t="n">
        <x:f>IF(H438="是",CEILING(I438/J438,1),0)</x:f>
        <x:v>4</x:v>
      </x:c>
      <x:c r="L438" s="26" t="n">
        <x:f>ROUND(I438*G438,0)</x:f>
        <x:v>77</x:v>
      </x:c>
      <x:c r="M438" s="26" t="n">
        <x:f>IF(H438="是",CEILING(L438/J438,1),0)</x:f>
        <x:v>5</x:v>
      </x:c>
      <x:c r="N438" s="26" t="n">
        <x:f>M438-K438</x:f>
        <x:v>1</x:v>
      </x:c>
      <x:c r="O438" s="24" t="str">
        <x:f>'500件商品'!Q438</x:f>
        <x:v>1區</x:v>
      </x:c>
      <x:c r="P438" s="26" t="n">
        <x:f>'500件商品'!R438</x:f>
        <x:v>22</x:v>
      </x:c>
      <x:c r="Q438" s="24" t="str">
        <x:f>IF(H438="否","非棧板管理",IF(AND(E438="是",N438&gt;0),"季節彈性前移區",IF(OR(C438="Cluster 3",D438&gt;=55),"近端低層棧板區",IF(C438="Cluster 2","中段大貨位",IF(C438="Cluster 4","遠端彈性儲位","中段棧板區")))))</x:f>
        <x:v>中段大貨位</x:v>
      </x:c>
      <x:c r="R438" s="24" t="str">
        <x:f>IF(AND(H438="是",E438="是",N438&gt;0),"是","否")</x:f>
        <x:v>否</x:v>
      </x:c>
      <x:c r="S438" s="24" t="str">
        <x:f>IF(H438="否","非本次棧板儲位分析對象",IF(R438="是","旺季前需前移並增加棧板位",IF(N438&gt;0,"需增加棧板位",IF(N438&lt;0,"可釋放部分棧板位","維持現況"))))</x:f>
        <x:v>需增加棧板位</x:v>
      </x:c>
    </x:row>
    <x:row r="439">
      <x:c r="A439" s="24" t="str">
        <x:f>'500件商品'!A439</x:f>
        <x:v>PX0435</x:v>
      </x:c>
      <x:c r="B439" s="24" t="str">
        <x:f>'500件商品'!B439</x:f>
        <x:v>雨衣組-家庭號</x:v>
      </x:c>
      <x:c r="C439" s="24" t="str">
        <x:f>'500件商品'!D439</x:f>
        <x:v>Cluster 4</x:v>
      </x:c>
      <x:c r="D439" s="26" t="n">
        <x:f>'500件商品'!F439</x:f>
        <x:v>14</x:v>
      </x:c>
      <x:c r="E439" s="24" t="str">
        <x:f>'500件商品'!K439</x:f>
        <x:v>是</x:v>
      </x:c>
      <x:c r="F439" s="24" t="str">
        <x:f>'500件商品'!L439</x:f>
        <x:v>5-8月</x:v>
      </x:c>
      <x:c r="G439" s="28" t="n">
        <x:f>'500件商品'!M439</x:f>
        <x:v>2</x:v>
      </x:c>
      <x:c r="H439" s="24" t="str">
        <x:f>'500件商品'!P439</x:f>
        <x:v>否</x:v>
      </x:c>
      <x:c r="I439" s="26" t="n">
        <x:f>'500件商品'!N439</x:f>
        <x:v>124</x:v>
      </x:c>
      <x:c r="J439" s="26" t="str">
        <x:f>'500件商品'!O439</x:f>
      </x:c>
      <x:c r="K439" s="26" t="n">
        <x:f>IF(H439="是",CEILING(I439/J439,1),0)</x:f>
        <x:v>0</x:v>
      </x:c>
      <x:c r="L439" s="26" t="n">
        <x:f>ROUND(I439*G439,0)</x:f>
        <x:v>248</x:v>
      </x:c>
      <x:c r="M439" s="26" t="n">
        <x:f>IF(H439="是",CEILING(L439/J439,1),0)</x:f>
        <x:v>0</x:v>
      </x:c>
      <x:c r="N439" s="26" t="n">
        <x:f>M439-K439</x:f>
        <x:v>0</x:v>
      </x:c>
      <x:c r="O439" s="24" t="str">
        <x:f>'500件商品'!Q439</x:f>
        <x:v>K區</x:v>
      </x:c>
      <x:c r="P439" s="26" t="n">
        <x:f>'500件商品'!R439</x:f>
        <x:v>57</x:v>
      </x:c>
      <x:c r="Q439" s="24" t="str">
        <x:f>IF(H439="否","非棧板管理",IF(AND(E439="是",N439&gt;0),"季節彈性前移區",IF(OR(C439="Cluster 3",D439&gt;=55),"近端低層棧板區",IF(C439="Cluster 2","中段大貨位",IF(C439="Cluster 4","遠端彈性儲位","中段棧板區")))))</x:f>
        <x:v>非棧板管理</x:v>
      </x:c>
      <x:c r="R439" s="24" t="str">
        <x:f>IF(AND(H439="是",E439="是",N439&gt;0),"是","否")</x:f>
        <x:v>否</x:v>
      </x:c>
      <x:c r="S439" s="24" t="str">
        <x:f>IF(H439="否","非本次棧板儲位分析對象",IF(R439="是","旺季前需前移並增加棧板位",IF(N439&gt;0,"需增加棧板位",IF(N439&lt;0,"可釋放部分棧板位","維持現況"))))</x:f>
        <x:v>非本次棧板儲位分析對象</x:v>
      </x:c>
    </x:row>
    <x:row r="440">
      <x:c r="A440" s="24" t="str">
        <x:f>'500件商品'!A440</x:f>
        <x:v>PX0436</x:v>
      </x:c>
      <x:c r="B440" s="24" t="str">
        <x:f>'500件商品'!B440</x:f>
        <x:v>面紙箱-標準箱</x:v>
      </x:c>
      <x:c r="C440" s="24" t="str">
        <x:f>'500件商品'!D440</x:f>
        <x:v>Cluster 2</x:v>
      </x:c>
      <x:c r="D440" s="26" t="n">
        <x:f>'500件商品'!F440</x:f>
        <x:v>40</x:v>
      </x:c>
      <x:c r="E440" s="24" t="str">
        <x:f>'500件商品'!K440</x:f>
        <x:v>否</x:v>
      </x:c>
      <x:c r="F440" s="24" t="str">
        <x:f>'500件商品'!L440</x:f>
      </x:c>
      <x:c r="G440" s="28" t="n">
        <x:f>'500件商品'!M440</x:f>
        <x:v>1</x:v>
      </x:c>
      <x:c r="H440" s="24" t="str">
        <x:f>'500件商品'!P440</x:f>
        <x:v>是</x:v>
      </x:c>
      <x:c r="I440" s="26" t="n">
        <x:f>'500件商品'!N440</x:f>
        <x:v>135</x:v>
      </x:c>
      <x:c r="J440" s="26" t="n">
        <x:f>'500件商品'!O440</x:f>
        <x:v>40</x:v>
      </x:c>
      <x:c r="K440" s="26" t="n">
        <x:f>IF(H440="是",CEILING(I440/J440,1),0)</x:f>
        <x:v>4</x:v>
      </x:c>
      <x:c r="L440" s="26" t="n">
        <x:f>ROUND(I440*G440,0)</x:f>
        <x:v>135</x:v>
      </x:c>
      <x:c r="M440" s="26" t="n">
        <x:f>IF(H440="是",CEILING(L440/J440,1),0)</x:f>
        <x:v>4</x:v>
      </x:c>
      <x:c r="N440" s="26" t="n">
        <x:f>M440-K440</x:f>
        <x:v>0</x:v>
      </x:c>
      <x:c r="O440" s="24" t="str">
        <x:f>'500件商品'!Q440</x:f>
        <x:v>A區</x:v>
      </x:c>
      <x:c r="P440" s="26" t="n">
        <x:f>'500件商品'!R440</x:f>
        <x:v>35</x:v>
      </x:c>
      <x:c r="Q440" s="24" t="str">
        <x:f>IF(H440="否","非棧板管理",IF(AND(E440="是",N440&gt;0),"季節彈性前移區",IF(OR(C440="Cluster 3",D440&gt;=55),"近端低層棧板區",IF(C440="Cluster 2","中段大貨位",IF(C440="Cluster 4","遠端彈性儲位","中段棧板區")))))</x:f>
        <x:v>中段大貨位</x:v>
      </x:c>
      <x:c r="R440" s="24" t="str">
        <x:f>IF(AND(H440="是",E440="是",N440&gt;0),"是","否")</x:f>
        <x:v>否</x:v>
      </x:c>
      <x:c r="S440" s="24" t="str">
        <x:f>IF(H440="否","非本次棧板儲位分析對象",IF(R440="是","旺季前需前移並增加棧板位",IF(N440&gt;0,"需增加棧板位",IF(N440&lt;0,"可釋放部分棧板位","維持現況"))))</x:f>
        <x:v>維持現況</x:v>
      </x:c>
    </x:row>
    <x:row r="441">
      <x:c r="A441" s="24" t="str">
        <x:f>'500件商品'!A441</x:f>
        <x:v>PX0437</x:v>
      </x:c>
      <x:c r="B441" s="24" t="str">
        <x:f>'500件商品'!B441</x:f>
        <x:v>衛生棉組-促銷組</x:v>
      </x:c>
      <x:c r="C441" s="24" t="str">
        <x:f>'500件商品'!D441</x:f>
        <x:v>Cluster 5</x:v>
      </x:c>
      <x:c r="D441" s="26" t="n">
        <x:f>'500件商品'!F441</x:f>
        <x:v>7</x:v>
      </x:c>
      <x:c r="E441" s="24" t="str">
        <x:f>'500件商品'!K441</x:f>
        <x:v>否</x:v>
      </x:c>
      <x:c r="F441" s="24" t="str">
        <x:f>'500件商品'!L441</x:f>
      </x:c>
      <x:c r="G441" s="28" t="n">
        <x:f>'500件商品'!M441</x:f>
        <x:v>1.1</x:v>
      </x:c>
      <x:c r="H441" s="24" t="str">
        <x:f>'500件商品'!P441</x:f>
        <x:v>否</x:v>
      </x:c>
      <x:c r="I441" s="26" t="n">
        <x:f>'500件商品'!N441</x:f>
        <x:v>36</x:v>
      </x:c>
      <x:c r="J441" s="26" t="str">
        <x:f>'500件商品'!O441</x:f>
      </x:c>
      <x:c r="K441" s="26" t="n">
        <x:f>IF(H441="是",CEILING(I441/J441,1),0)</x:f>
        <x:v>0</x:v>
      </x:c>
      <x:c r="L441" s="26" t="n">
        <x:f>ROUND(I441*G441,0)</x:f>
        <x:v>40</x:v>
      </x:c>
      <x:c r="M441" s="26" t="n">
        <x:f>IF(H441="是",CEILING(L441/J441,1),0)</x:f>
        <x:v>0</x:v>
      </x:c>
      <x:c r="N441" s="26" t="n">
        <x:f>M441-K441</x:f>
        <x:v>0</x:v>
      </x:c>
      <x:c r="O441" s="24" t="str">
        <x:f>'500件商品'!Q441</x:f>
        <x:v>1區</x:v>
      </x:c>
      <x:c r="P441" s="26" t="n">
        <x:f>'500件商品'!R441</x:f>
        <x:v>40</x:v>
      </x:c>
      <x:c r="Q441" s="24" t="str">
        <x:f>IF(H441="否","非棧板管理",IF(AND(E441="是",N441&gt;0),"季節彈性前移區",IF(OR(C441="Cluster 3",D441&gt;=55),"近端低層棧板區",IF(C441="Cluster 2","中段大貨位",IF(C441="Cluster 4","遠端彈性儲位","中段棧板區")))))</x:f>
        <x:v>非棧板管理</x:v>
      </x:c>
      <x:c r="R441" s="24" t="str">
        <x:f>IF(AND(H441="是",E441="是",N441&gt;0),"是","否")</x:f>
        <x:v>否</x:v>
      </x:c>
      <x:c r="S441" s="24" t="str">
        <x:f>IF(H441="否","非本次棧板儲位分析對象",IF(R441="是","旺季前需前移並增加棧板位",IF(N441&gt;0,"需增加棧板位",IF(N441&lt;0,"可釋放部分棧板位","維持現況"))))</x:f>
        <x:v>非本次棧板儲位分析對象</x:v>
      </x:c>
    </x:row>
    <x:row r="442">
      <x:c r="A442" s="24" t="str">
        <x:f>'500件商品'!A442</x:f>
        <x:v>PX0438</x:v>
      </x:c>
      <x:c r="B442" s="24" t="str">
        <x:f>'500件商品'!B442</x:f>
        <x:v>餅乾箱-家庭號</x:v>
      </x:c>
      <x:c r="C442" s="24" t="str">
        <x:f>'500件商品'!D442</x:f>
        <x:v>Cluster 5</x:v>
      </x:c>
      <x:c r="D442" s="26" t="n">
        <x:f>'500件商品'!F442</x:f>
        <x:v>21</x:v>
      </x:c>
      <x:c r="E442" s="24" t="str">
        <x:f>'500件商品'!K442</x:f>
        <x:v>否</x:v>
      </x:c>
      <x:c r="F442" s="24" t="str">
        <x:f>'500件商品'!L442</x:f>
      </x:c>
      <x:c r="G442" s="28" t="n">
        <x:f>'500件商品'!M442</x:f>
        <x:v>1.1</x:v>
      </x:c>
      <x:c r="H442" s="24" t="str">
        <x:f>'500件商品'!P442</x:f>
        <x:v>否</x:v>
      </x:c>
      <x:c r="I442" s="26" t="n">
        <x:f>'500件商品'!N442</x:f>
        <x:v>138</x:v>
      </x:c>
      <x:c r="J442" s="26" t="str">
        <x:f>'500件商品'!O442</x:f>
      </x:c>
      <x:c r="K442" s="26" t="n">
        <x:f>IF(H442="是",CEILING(I442/J442,1),0)</x:f>
        <x:v>0</x:v>
      </x:c>
      <x:c r="L442" s="26" t="n">
        <x:f>ROUND(I442*G442,0)</x:f>
        <x:v>152</x:v>
      </x:c>
      <x:c r="M442" s="26" t="n">
        <x:f>IF(H442="是",CEILING(L442/J442,1),0)</x:f>
        <x:v>0</x:v>
      </x:c>
      <x:c r="N442" s="26" t="n">
        <x:f>M442-K442</x:f>
        <x:v>0</x:v>
      </x:c>
      <x:c r="O442" s="24" t="str">
        <x:f>'500件商品'!Q442</x:f>
        <x:v>A區</x:v>
      </x:c>
      <x:c r="P442" s="26" t="n">
        <x:f>'500件商品'!R442</x:f>
        <x:v>26</x:v>
      </x:c>
      <x:c r="Q442" s="24" t="str">
        <x:f>IF(H442="否","非棧板管理",IF(AND(E442="是",N442&gt;0),"季節彈性前移區",IF(OR(C442="Cluster 3",D442&gt;=55),"近端低層棧板區",IF(C442="Cluster 2","中段大貨位",IF(C442="Cluster 4","遠端彈性儲位","中段棧板區")))))</x:f>
        <x:v>非棧板管理</x:v>
      </x:c>
      <x:c r="R442" s="24" t="str">
        <x:f>IF(AND(H442="是",E442="是",N442&gt;0),"是","否")</x:f>
        <x:v>否</x:v>
      </x:c>
      <x:c r="S442" s="24" t="str">
        <x:f>IF(H442="否","非本次棧板儲位分析對象",IF(R442="是","旺季前需前移並增加棧板位",IF(N442&gt;0,"需增加棧板位",IF(N442&lt;0,"可釋放部分棧板位","維持現況"))))</x:f>
        <x:v>非本次棧板儲位分析對象</x:v>
      </x:c>
    </x:row>
    <x:row r="443">
      <x:c r="A443" s="24" t="str">
        <x:f>'500件商品'!A443</x:f>
        <x:v>PX0439</x:v>
      </x:c>
      <x:c r="B443" s="24" t="str">
        <x:f>'500件商品'!B443</x:f>
        <x:v>瓶裝水600ml-小包裝</x:v>
      </x:c>
      <x:c r="C443" s="24" t="str">
        <x:f>'500件商品'!D443</x:f>
        <x:v>Cluster 2</x:v>
      </x:c>
      <x:c r="D443" s="26" t="n">
        <x:f>'500件商品'!F443</x:f>
        <x:v>36</x:v>
      </x:c>
      <x:c r="E443" s="24" t="str">
        <x:f>'500件商品'!K443</x:f>
        <x:v>否</x:v>
      </x:c>
      <x:c r="F443" s="24" t="str">
        <x:f>'500件商品'!L443</x:f>
      </x:c>
      <x:c r="G443" s="28" t="n">
        <x:f>'500件商品'!M443</x:f>
        <x:v>1.5</x:v>
      </x:c>
      <x:c r="H443" s="24" t="str">
        <x:f>'500件商品'!P443</x:f>
        <x:v>是</x:v>
      </x:c>
      <x:c r="I443" s="26" t="n">
        <x:f>'500件商品'!N443</x:f>
        <x:v>166</x:v>
      </x:c>
      <x:c r="J443" s="26" t="n">
        <x:f>'500件商品'!O443</x:f>
        <x:v>36</x:v>
      </x:c>
      <x:c r="K443" s="26" t="n">
        <x:f>IF(H443="是",CEILING(I443/J443,1),0)</x:f>
        <x:v>5</x:v>
      </x:c>
      <x:c r="L443" s="26" t="n">
        <x:f>ROUND(I443*G443,0)</x:f>
        <x:v>249</x:v>
      </x:c>
      <x:c r="M443" s="26" t="n">
        <x:f>IF(H443="是",CEILING(L443/J443,1),0)</x:f>
        <x:v>7</x:v>
      </x:c>
      <x:c r="N443" s="26" t="n">
        <x:f>M443-K443</x:f>
        <x:v>2</x:v>
      </x:c>
      <x:c r="O443" s="24" t="str">
        <x:f>'500件商品'!Q443</x:f>
        <x:v>遠端區</x:v>
      </x:c>
      <x:c r="P443" s="26" t="n">
        <x:f>'500件商品'!R443</x:f>
        <x:v>67</x:v>
      </x:c>
      <x:c r="Q443" s="24" t="str">
        <x:f>IF(H443="否","非棧板管理",IF(AND(E443="是",N443&gt;0),"季節彈性前移區",IF(OR(C443="Cluster 3",D443&gt;=55),"近端低層棧板區",IF(C443="Cluster 2","中段大貨位",IF(C443="Cluster 4","遠端彈性儲位","中段棧板區")))))</x:f>
        <x:v>中段大貨位</x:v>
      </x:c>
      <x:c r="R443" s="24" t="str">
        <x:f>IF(AND(H443="是",E443="是",N443&gt;0),"是","否")</x:f>
        <x:v>否</x:v>
      </x:c>
      <x:c r="S443" s="24" t="str">
        <x:f>IF(H443="否","非本次棧板儲位分析對象",IF(R443="是","旺季前需前移並增加棧板位",IF(N443&gt;0,"需增加棧板位",IF(N443&lt;0,"可釋放部分棧板位","維持現況"))))</x:f>
        <x:v>需增加棧板位</x:v>
      </x:c>
    </x:row>
    <x:row r="444">
      <x:c r="A444" s="24" t="str">
        <x:f>'500件商品'!A444</x:f>
        <x:v>PX0440</x:v>
      </x:c>
      <x:c r="B444" s="24" t="str">
        <x:f>'500件商品'!B444</x:f>
        <x:v>麥片箱-箱裝</x:v>
      </x:c>
      <x:c r="C444" s="24" t="str">
        <x:f>'500件商品'!D444</x:f>
        <x:v>Cluster 5</x:v>
      </x:c>
      <x:c r="D444" s="26" t="n">
        <x:f>'500件商品'!F444</x:f>
        <x:v>11</x:v>
      </x:c>
      <x:c r="E444" s="24" t="str">
        <x:f>'500件商品'!K444</x:f>
        <x:v>否</x:v>
      </x:c>
      <x:c r="F444" s="24" t="str">
        <x:f>'500件商品'!L444</x:f>
      </x:c>
      <x:c r="G444" s="28" t="n">
        <x:f>'500件商品'!M444</x:f>
        <x:v>1</x:v>
      </x:c>
      <x:c r="H444" s="24" t="str">
        <x:f>'500件商品'!P444</x:f>
        <x:v>否</x:v>
      </x:c>
      <x:c r="I444" s="26" t="n">
        <x:f>'500件商品'!N444</x:f>
        <x:v>104</x:v>
      </x:c>
      <x:c r="J444" s="26" t="str">
        <x:f>'500件商品'!O444</x:f>
      </x:c>
      <x:c r="K444" s="26" t="n">
        <x:f>IF(H444="是",CEILING(I444/J444,1),0)</x:f>
        <x:v>0</x:v>
      </x:c>
      <x:c r="L444" s="26" t="n">
        <x:f>ROUND(I444*G444,0)</x:f>
        <x:v>104</x:v>
      </x:c>
      <x:c r="M444" s="26" t="n">
        <x:f>IF(H444="是",CEILING(L444/J444,1),0)</x:f>
        <x:v>0</x:v>
      </x:c>
      <x:c r="N444" s="26" t="n">
        <x:f>M444-K444</x:f>
        <x:v>0</x:v>
      </x:c>
      <x:c r="O444" s="24" t="str">
        <x:f>'500件商品'!Q444</x:f>
        <x:v>彈性區</x:v>
      </x:c>
      <x:c r="P444" s="26" t="n">
        <x:f>'500件商品'!R444</x:f>
        <x:v>54</x:v>
      </x:c>
      <x:c r="Q444" s="24" t="str">
        <x:f>IF(H444="否","非棧板管理",IF(AND(E444="是",N444&gt;0),"季節彈性前移區",IF(OR(C444="Cluster 3",D444&gt;=55),"近端低層棧板區",IF(C444="Cluster 2","中段大貨位",IF(C444="Cluster 4","遠端彈性儲位","中段棧板區")))))</x:f>
        <x:v>非棧板管理</x:v>
      </x:c>
      <x:c r="R444" s="24" t="str">
        <x:f>IF(AND(H444="是",E444="是",N444&gt;0),"是","否")</x:f>
        <x:v>否</x:v>
      </x:c>
      <x:c r="S444" s="24" t="str">
        <x:f>IF(H444="否","非本次棧板儲位分析對象",IF(R444="是","旺季前需前移並增加棧板位",IF(N444&gt;0,"需增加棧板位",IF(N444&lt;0,"可釋放部分棧板位","維持現況"))))</x:f>
        <x:v>非本次棧板儲位分析對象</x:v>
      </x:c>
    </x:row>
    <x:row r="445">
      <x:c r="A445" s="24" t="str">
        <x:f>'500件商品'!A445</x:f>
        <x:v>PX0441</x:v>
      </x:c>
      <x:c r="B445" s="24" t="str">
        <x:f>'500件商品'!B445</x:f>
        <x:v>白米3kg-家庭號</x:v>
      </x:c>
      <x:c r="C445" s="24" t="str">
        <x:f>'500件商品'!D445</x:f>
        <x:v>Cluster 1</x:v>
      </x:c>
      <x:c r="D445" s="26" t="n">
        <x:f>'500件商品'!F445</x:f>
        <x:v>3</x:v>
      </x:c>
      <x:c r="E445" s="24" t="str">
        <x:f>'500件商品'!K445</x:f>
        <x:v>否</x:v>
      </x:c>
      <x:c r="F445" s="24" t="str">
        <x:f>'500件商品'!L445</x:f>
      </x:c>
      <x:c r="G445" s="28" t="n">
        <x:f>'500件商品'!M445</x:f>
        <x:v>1</x:v>
      </x:c>
      <x:c r="H445" s="24" t="str">
        <x:f>'500件商品'!P445</x:f>
        <x:v>是</x:v>
      </x:c>
      <x:c r="I445" s="26" t="n">
        <x:f>'500件商品'!N445</x:f>
        <x:v>25</x:v>
      </x:c>
      <x:c r="J445" s="26" t="n">
        <x:f>'500件商品'!O445</x:f>
        <x:v>32</x:v>
      </x:c>
      <x:c r="K445" s="26" t="n">
        <x:f>IF(H445="是",CEILING(I445/J445,1),0)</x:f>
        <x:v>1</x:v>
      </x:c>
      <x:c r="L445" s="26" t="n">
        <x:f>ROUND(I445*G445,0)</x:f>
        <x:v>25</x:v>
      </x:c>
      <x:c r="M445" s="26" t="n">
        <x:f>IF(H445="是",CEILING(L445/J445,1),0)</x:f>
        <x:v>1</x:v>
      </x:c>
      <x:c r="N445" s="26" t="n">
        <x:f>M445-K445</x:f>
        <x:v>0</x:v>
      </x:c>
      <x:c r="O445" s="24" t="str">
        <x:f>'500件商品'!Q445</x:f>
        <x:v>K區</x:v>
      </x:c>
      <x:c r="P445" s="26" t="n">
        <x:f>'500件商品'!R445</x:f>
        <x:v>53</x:v>
      </x:c>
      <x:c r="Q445" s="24" t="str">
        <x:f>IF(H445="否","非棧板管理",IF(AND(E445="是",N445&gt;0),"季節彈性前移區",IF(OR(C445="Cluster 3",D445&gt;=55),"近端低層棧板區",IF(C445="Cluster 2","中段大貨位",IF(C445="Cluster 4","遠端彈性儲位","中段棧板區")))))</x:f>
        <x:v>中段棧板區</x:v>
      </x:c>
      <x:c r="R445" s="24" t="str">
        <x:f>IF(AND(H445="是",E445="是",N445&gt;0),"是","否")</x:f>
        <x:v>否</x:v>
      </x:c>
      <x:c r="S445" s="24" t="str">
        <x:f>IF(H445="否","非本次棧板儲位分析對象",IF(R445="是","旺季前需前移並增加棧板位",IF(N445&gt;0,"需增加棧板位",IF(N445&lt;0,"可釋放部分棧板位","維持現況"))))</x:f>
        <x:v>維持現況</x:v>
      </x:c>
    </x:row>
    <x:row r="446">
      <x:c r="A446" s="24" t="str">
        <x:f>'500件商品'!A446</x:f>
        <x:v>PX0442</x:v>
      </x:c>
      <x:c r="B446" s="24" t="str">
        <x:f>'500件商品'!B446</x:f>
        <x:v>包裝膠帶-促銷組</x:v>
      </x:c>
      <x:c r="C446" s="24" t="str">
        <x:f>'500件商品'!D446</x:f>
        <x:v>Cluster 5</x:v>
      </x:c>
      <x:c r="D446" s="26" t="n">
        <x:f>'500件商品'!F446</x:f>
        <x:v>52</x:v>
      </x:c>
      <x:c r="E446" s="24" t="str">
        <x:f>'500件商品'!K446</x:f>
        <x:v>否</x:v>
      </x:c>
      <x:c r="F446" s="24" t="str">
        <x:f>'500件商品'!L446</x:f>
      </x:c>
      <x:c r="G446" s="28" t="n">
        <x:f>'500件商品'!M446</x:f>
        <x:v>1</x:v>
      </x:c>
      <x:c r="H446" s="24" t="str">
        <x:f>'500件商品'!P446</x:f>
        <x:v>是</x:v>
      </x:c>
      <x:c r="I446" s="26" t="n">
        <x:f>'500件商品'!N446</x:f>
        <x:v>382</x:v>
      </x:c>
      <x:c r="J446" s="26" t="n">
        <x:f>'500件商品'!O446</x:f>
        <x:v>80</x:v>
      </x:c>
      <x:c r="K446" s="26" t="n">
        <x:f>IF(H446="是",CEILING(I446/J446,1),0)</x:f>
        <x:v>5</x:v>
      </x:c>
      <x:c r="L446" s="26" t="n">
        <x:f>ROUND(I446*G446,0)</x:f>
        <x:v>382</x:v>
      </x:c>
      <x:c r="M446" s="26" t="n">
        <x:f>IF(H446="是",CEILING(L446/J446,1),0)</x:f>
        <x:v>5</x:v>
      </x:c>
      <x:c r="N446" s="26" t="n">
        <x:f>M446-K446</x:f>
        <x:v>0</x:v>
      </x:c>
      <x:c r="O446" s="24" t="str">
        <x:f>'500件商品'!Q446</x:f>
        <x:v>1區</x:v>
      </x:c>
      <x:c r="P446" s="26" t="n">
        <x:f>'500件商品'!R446</x:f>
        <x:v>25</x:v>
      </x:c>
      <x:c r="Q446" s="24" t="str">
        <x:f>IF(H446="否","非棧板管理",IF(AND(E446="是",N446&gt;0),"季節彈性前移區",IF(OR(C446="Cluster 3",D446&gt;=55),"近端低層棧板區",IF(C446="Cluster 2","中段大貨位",IF(C446="Cluster 4","遠端彈性儲位","中段棧板區")))))</x:f>
        <x:v>中段棧板區</x:v>
      </x:c>
      <x:c r="R446" s="24" t="str">
        <x:f>IF(AND(H446="是",E446="是",N446&gt;0),"是","否")</x:f>
        <x:v>否</x:v>
      </x:c>
      <x:c r="S446" s="24" t="str">
        <x:f>IF(H446="否","非本次棧板儲位分析對象",IF(R446="是","旺季前需前移並增加棧板位",IF(N446&gt;0,"需增加棧板位",IF(N446&lt;0,"可釋放部分棧板位","維持現況"))))</x:f>
        <x:v>維持現況</x:v>
      </x:c>
    </x:row>
    <x:row r="447">
      <x:c r="A447" s="24" t="str">
        <x:f>'500件商品'!A447</x:f>
        <x:v>PX0443</x:v>
      </x:c>
      <x:c r="B447" s="24" t="str">
        <x:f>'500件商品'!B447</x:f>
        <x:v>捲筒衛生紙-標準箱</x:v>
      </x:c>
      <x:c r="C447" s="24" t="str">
        <x:f>'500件商品'!D447</x:f>
        <x:v>Cluster 2</x:v>
      </x:c>
      <x:c r="D447" s="26" t="n">
        <x:f>'500件商品'!F447</x:f>
        <x:v>5</x:v>
      </x:c>
      <x:c r="E447" s="24" t="str">
        <x:f>'500件商品'!K447</x:f>
        <x:v>否</x:v>
      </x:c>
      <x:c r="F447" s="24" t="str">
        <x:f>'500件商品'!L447</x:f>
      </x:c>
      <x:c r="G447" s="28" t="n">
        <x:f>'500件商品'!M447</x:f>
        <x:v>1</x:v>
      </x:c>
      <x:c r="H447" s="24" t="str">
        <x:f>'500件商品'!P447</x:f>
        <x:v>是</x:v>
      </x:c>
      <x:c r="I447" s="26" t="n">
        <x:f>'500件商品'!N447</x:f>
        <x:v>31</x:v>
      </x:c>
      <x:c r="J447" s="26" t="n">
        <x:f>'500件商品'!O447</x:f>
        <x:v>20</x:v>
      </x:c>
      <x:c r="K447" s="26" t="n">
        <x:f>IF(H447="是",CEILING(I447/J447,1),0)</x:f>
        <x:v>2</x:v>
      </x:c>
      <x:c r="L447" s="26" t="n">
        <x:f>ROUND(I447*G447,0)</x:f>
        <x:v>31</x:v>
      </x:c>
      <x:c r="M447" s="26" t="n">
        <x:f>IF(H447="是",CEILING(L447/J447,1),0)</x:f>
        <x:v>2</x:v>
      </x:c>
      <x:c r="N447" s="26" t="n">
        <x:f>M447-K447</x:f>
        <x:v>0</x:v>
      </x:c>
      <x:c r="O447" s="24" t="str">
        <x:f>'500件商品'!Q447</x:f>
        <x:v>1區</x:v>
      </x:c>
      <x:c r="P447" s="26" t="n">
        <x:f>'500件商品'!R447</x:f>
        <x:v>41</x:v>
      </x:c>
      <x:c r="Q447" s="24" t="str">
        <x:f>IF(H447="否","非棧板管理",IF(AND(E447="是",N447&gt;0),"季節彈性前移區",IF(OR(C447="Cluster 3",D447&gt;=55),"近端低層棧板區",IF(C447="Cluster 2","中段大貨位",IF(C447="Cluster 4","遠端彈性儲位","中段棧板區")))))</x:f>
        <x:v>中段大貨位</x:v>
      </x:c>
      <x:c r="R447" s="24" t="str">
        <x:f>IF(AND(H447="是",E447="是",N447&gt;0),"是","否")</x:f>
        <x:v>否</x:v>
      </x:c>
      <x:c r="S447" s="24" t="str">
        <x:f>IF(H447="否","非本次棧板儲位分析對象",IF(R447="是","旺季前需前移並增加棧板位",IF(N447&gt;0,"需增加棧板位",IF(N447&lt;0,"可釋放部分棧板位","維持現況"))))</x:f>
        <x:v>維持現況</x:v>
      </x:c>
    </x:row>
    <x:row r="448">
      <x:c r="A448" s="24" t="str">
        <x:f>'500件商品'!A448</x:f>
        <x:v>PX0444</x:v>
      </x:c>
      <x:c r="B448" s="24" t="str">
        <x:f>'500件商品'!B448</x:f>
        <x:v>貓砂10L-促銷組</x:v>
      </x:c>
      <x:c r="C448" s="24" t="str">
        <x:f>'500件商品'!D448</x:f>
        <x:v>Cluster 3</x:v>
      </x:c>
      <x:c r="D448" s="26" t="n">
        <x:f>'500件商品'!F448</x:f>
        <x:v>64</x:v>
      </x:c>
      <x:c r="E448" s="24" t="str">
        <x:f>'500件商品'!K448</x:f>
        <x:v>否</x:v>
      </x:c>
      <x:c r="F448" s="24" t="str">
        <x:f>'500件商品'!L448</x:f>
      </x:c>
      <x:c r="G448" s="28" t="n">
        <x:f>'500件商品'!M448</x:f>
        <x:v>1</x:v>
      </x:c>
      <x:c r="H448" s="24" t="str">
        <x:f>'500件商品'!P448</x:f>
        <x:v>是</x:v>
      </x:c>
      <x:c r="I448" s="26" t="n">
        <x:f>'500件商品'!N448</x:f>
        <x:v>498</x:v>
      </x:c>
      <x:c r="J448" s="26" t="n">
        <x:f>'500件商品'!O448</x:f>
        <x:v>30</x:v>
      </x:c>
      <x:c r="K448" s="26" t="n">
        <x:f>IF(H448="是",CEILING(I448/J448,1),0)</x:f>
        <x:v>17</x:v>
      </x:c>
      <x:c r="L448" s="26" t="n">
        <x:f>ROUND(I448*G448,0)</x:f>
        <x:v>498</x:v>
      </x:c>
      <x:c r="M448" s="26" t="n">
        <x:f>IF(H448="是",CEILING(L448/J448,1),0)</x:f>
        <x:v>17</x:v>
      </x:c>
      <x:c r="N448" s="26" t="n">
        <x:f>M448-K448</x:f>
        <x:v>0</x:v>
      </x:c>
      <x:c r="O448" s="24" t="str">
        <x:f>'500件商品'!Q448</x:f>
        <x:v>3區</x:v>
      </x:c>
      <x:c r="P448" s="26" t="n">
        <x:f>'500件商品'!R448</x:f>
        <x:v>32</x:v>
      </x:c>
      <x:c r="Q448" s="24" t="str">
        <x:f>IF(H448="否","非棧板管理",IF(AND(E448="是",N448&gt;0),"季節彈性前移區",IF(OR(C448="Cluster 3",D448&gt;=55),"近端低層棧板區",IF(C448="Cluster 2","中段大貨位",IF(C448="Cluster 4","遠端彈性儲位","中段棧板區")))))</x:f>
        <x:v>近端低層棧板區</x:v>
      </x:c>
      <x:c r="R448" s="24" t="str">
        <x:f>IF(AND(H448="是",E448="是",N448&gt;0),"是","否")</x:f>
        <x:v>否</x:v>
      </x:c>
      <x:c r="S448" s="24" t="str">
        <x:f>IF(H448="否","非本次棧板儲位分析對象",IF(R448="是","旺季前需前移並增加棧板位",IF(N448&gt;0,"需增加棧板位",IF(N448&lt;0,"可釋放部分棧板位","維持現況"))))</x:f>
        <x:v>維持現況</x:v>
      </x:c>
    </x:row>
    <x:row r="449">
      <x:c r="A449" s="24" t="str">
        <x:f>'500件商品'!A449</x:f>
        <x:v>PX0445</x:v>
      </x:c>
      <x:c r="B449" s="24" t="str">
        <x:f>'500件商品'!B449</x:f>
        <x:v>衛生棉組-家庭號</x:v>
      </x:c>
      <x:c r="C449" s="24" t="str">
        <x:f>'500件商品'!D449</x:f>
        <x:v>Cluster 5</x:v>
      </x:c>
      <x:c r="D449" s="26" t="n">
        <x:f>'500件商品'!F449</x:f>
        <x:v>19</x:v>
      </x:c>
      <x:c r="E449" s="24" t="str">
        <x:f>'500件商品'!K449</x:f>
        <x:v>否</x:v>
      </x:c>
      <x:c r="F449" s="24" t="str">
        <x:f>'500件商品'!L449</x:f>
      </x:c>
      <x:c r="G449" s="28" t="n">
        <x:f>'500件商品'!M449</x:f>
        <x:v>1</x:v>
      </x:c>
      <x:c r="H449" s="24" t="str">
        <x:f>'500件商品'!P449</x:f>
        <x:v>否</x:v>
      </x:c>
      <x:c r="I449" s="26" t="n">
        <x:f>'500件商品'!N449</x:f>
        <x:v>120</x:v>
      </x:c>
      <x:c r="J449" s="26" t="str">
        <x:f>'500件商品'!O449</x:f>
      </x:c>
      <x:c r="K449" s="26" t="n">
        <x:f>IF(H449="是",CEILING(I449/J449,1),0)</x:f>
        <x:v>0</x:v>
      </x:c>
      <x:c r="L449" s="26" t="n">
        <x:f>ROUND(I449*G449,0)</x:f>
        <x:v>120</x:v>
      </x:c>
      <x:c r="M449" s="26" t="n">
        <x:f>IF(H449="是",CEILING(L449/J449,1),0)</x:f>
        <x:v>0</x:v>
      </x:c>
      <x:c r="N449" s="26" t="n">
        <x:f>M449-K449</x:f>
        <x:v>0</x:v>
      </x:c>
      <x:c r="O449" s="24" t="str">
        <x:f>'500件商品'!Q449</x:f>
        <x:v>A區</x:v>
      </x:c>
      <x:c r="P449" s="26" t="n">
        <x:f>'500件商品'!R449</x:f>
        <x:v>36</x:v>
      </x:c>
      <x:c r="Q449" s="24" t="str">
        <x:f>IF(H449="否","非棧板管理",IF(AND(E449="是",N449&gt;0),"季節彈性前移區",IF(OR(C449="Cluster 3",D449&gt;=55),"近端低層棧板區",IF(C449="Cluster 2","中段大貨位",IF(C449="Cluster 4","遠端彈性儲位","中段棧板區")))))</x:f>
        <x:v>非棧板管理</x:v>
      </x:c>
      <x:c r="R449" s="24" t="str">
        <x:f>IF(AND(H449="是",E449="是",N449&gt;0),"是","否")</x:f>
        <x:v>否</x:v>
      </x:c>
      <x:c r="S449" s="24" t="str">
        <x:f>IF(H449="否","非本次棧板儲位分析對象",IF(R449="是","旺季前需前移並增加棧板位",IF(N449&gt;0,"需增加棧板位",IF(N449&lt;0,"可釋放部分棧板位","維持現況"))))</x:f>
        <x:v>非本次棧板儲位分析對象</x:v>
      </x:c>
    </x:row>
    <x:row r="450">
      <x:c r="A450" s="24" t="str">
        <x:f>'500件商品'!A450</x:f>
        <x:v>PX0446</x:v>
      </x:c>
      <x:c r="B450" s="24" t="str">
        <x:f>'500件商品'!B450</x:f>
        <x:v>成人紙尿褲-箱裝</x:v>
      </x:c>
      <x:c r="C450" s="24" t="str">
        <x:f>'500件商品'!D450</x:f>
        <x:v>Cluster 2</x:v>
      </x:c>
      <x:c r="D450" s="26" t="n">
        <x:f>'500件商品'!F450</x:f>
        <x:v>13</x:v>
      </x:c>
      <x:c r="E450" s="24" t="str">
        <x:f>'500件商品'!K450</x:f>
        <x:v>否</x:v>
      </x:c>
      <x:c r="F450" s="24" t="str">
        <x:f>'500件商品'!L450</x:f>
      </x:c>
      <x:c r="G450" s="28" t="n">
        <x:f>'500件商品'!M450</x:f>
        <x:v>1</x:v>
      </x:c>
      <x:c r="H450" s="24" t="str">
        <x:f>'500件商品'!P450</x:f>
        <x:v>是</x:v>
      </x:c>
      <x:c r="I450" s="26" t="n">
        <x:f>'500件商品'!N450</x:f>
        <x:v>89</x:v>
      </x:c>
      <x:c r="J450" s="26" t="n">
        <x:f>'500件商品'!O450</x:f>
        <x:v>30</x:v>
      </x:c>
      <x:c r="K450" s="26" t="n">
        <x:f>IF(H450="是",CEILING(I450/J450,1),0)</x:f>
        <x:v>3</x:v>
      </x:c>
      <x:c r="L450" s="26" t="n">
        <x:f>ROUND(I450*G450,0)</x:f>
        <x:v>89</x:v>
      </x:c>
      <x:c r="M450" s="26" t="n">
        <x:f>IF(H450="是",CEILING(L450/J450,1),0)</x:f>
        <x:v>3</x:v>
      </x:c>
      <x:c r="N450" s="26" t="n">
        <x:f>M450-K450</x:f>
        <x:v>0</x:v>
      </x:c>
      <x:c r="O450" s="24" t="str">
        <x:f>'500件商品'!Q450</x:f>
        <x:v>K區</x:v>
      </x:c>
      <x:c r="P450" s="26" t="n">
        <x:f>'500件商品'!R450</x:f>
        <x:v>53</x:v>
      </x:c>
      <x:c r="Q450" s="24" t="str">
        <x:f>IF(H450="否","非棧板管理",IF(AND(E450="是",N450&gt;0),"季節彈性前移區",IF(OR(C450="Cluster 3",D450&gt;=55),"近端低層棧板區",IF(C450="Cluster 2","中段大貨位",IF(C450="Cluster 4","遠端彈性儲位","中段棧板區")))))</x:f>
        <x:v>中段大貨位</x:v>
      </x:c>
      <x:c r="R450" s="24" t="str">
        <x:f>IF(AND(H450="是",E450="是",N450&gt;0),"是","否")</x:f>
        <x:v>否</x:v>
      </x:c>
      <x:c r="S450" s="24" t="str">
        <x:f>IF(H450="否","非本次棧板儲位分析對象",IF(R450="是","旺季前需前移並增加棧板位",IF(N450&gt;0,"需增加棧板位",IF(N450&lt;0,"可釋放部分棧板位","維持現況"))))</x:f>
        <x:v>維持現況</x:v>
      </x:c>
    </x:row>
    <x:row r="451">
      <x:c r="A451" s="24" t="str">
        <x:f>'500件商品'!A451</x:f>
        <x:v>PX0447</x:v>
      </x:c>
      <x:c r="B451" s="24" t="str">
        <x:f>'500件商品'!B451</x:f>
        <x:v>浴廁清潔劑-補充包</x:v>
      </x:c>
      <x:c r="C451" s="24" t="str">
        <x:f>'500件商品'!D451</x:f>
        <x:v>Cluster 1</x:v>
      </x:c>
      <x:c r="D451" s="26" t="n">
        <x:f>'500件商品'!F451</x:f>
        <x:v>52</x:v>
      </x:c>
      <x:c r="E451" s="24" t="str">
        <x:f>'500件商品'!K451</x:f>
        <x:v>否</x:v>
      </x:c>
      <x:c r="F451" s="24" t="str">
        <x:f>'500件商品'!L451</x:f>
      </x:c>
      <x:c r="G451" s="28" t="n">
        <x:f>'500件商品'!M451</x:f>
        <x:v>1</x:v>
      </x:c>
      <x:c r="H451" s="24" t="str">
        <x:f>'500件商品'!P451</x:f>
        <x:v>是</x:v>
      </x:c>
      <x:c r="I451" s="26" t="n">
        <x:f>'500件商品'!N451</x:f>
        <x:v>386</x:v>
      </x:c>
      <x:c r="J451" s="26" t="n">
        <x:f>'500件商品'!O451</x:f>
        <x:v>80</x:v>
      </x:c>
      <x:c r="K451" s="26" t="n">
        <x:f>IF(H451="是",CEILING(I451/J451,1),0)</x:f>
        <x:v>5</x:v>
      </x:c>
      <x:c r="L451" s="26" t="n">
        <x:f>ROUND(I451*G451,0)</x:f>
        <x:v>386</x:v>
      </x:c>
      <x:c r="M451" s="26" t="n">
        <x:f>IF(H451="是",CEILING(L451/J451,1),0)</x:f>
        <x:v>5</x:v>
      </x:c>
      <x:c r="N451" s="26" t="n">
        <x:f>M451-K451</x:f>
        <x:v>0</x:v>
      </x:c>
      <x:c r="O451" s="24" t="str">
        <x:f>'500件商品'!Q451</x:f>
        <x:v>彈性區</x:v>
      </x:c>
      <x:c r="P451" s="26" t="n">
        <x:f>'500件商品'!R451</x:f>
        <x:v>55</x:v>
      </x:c>
      <x:c r="Q451" s="24" t="str">
        <x:f>IF(H451="否","非棧板管理",IF(AND(E451="是",N451&gt;0),"季節彈性前移區",IF(OR(C451="Cluster 3",D451&gt;=55),"近端低層棧板區",IF(C451="Cluster 2","中段大貨位",IF(C451="Cluster 4","遠端彈性儲位","中段棧板區")))))</x:f>
        <x:v>中段棧板區</x:v>
      </x:c>
      <x:c r="R451" s="24" t="str">
        <x:f>IF(AND(H451="是",E451="是",N451&gt;0),"是","否")</x:f>
        <x:v>否</x:v>
      </x:c>
      <x:c r="S451" s="24" t="str">
        <x:f>IF(H451="否","非本次棧板儲位分析對象",IF(R451="是","旺季前需前移並增加棧板位",IF(N451&gt;0,"需增加棧板位",IF(N451&lt;0,"可釋放部分棧板位","維持現況"))))</x:f>
        <x:v>維持現況</x:v>
      </x:c>
    </x:row>
    <x:row r="452">
      <x:c r="A452" s="24" t="str">
        <x:f>'500件商品'!A452</x:f>
        <x:v>PX0448</x:v>
      </x:c>
      <x:c r="B452" s="24" t="str">
        <x:f>'500件商品'!B452</x:f>
        <x:v>暖暖包-標準箱</x:v>
      </x:c>
      <x:c r="C452" s="24" t="str">
        <x:f>'500件商品'!D452</x:f>
        <x:v>Cluster 4</x:v>
      </x:c>
      <x:c r="D452" s="26" t="n">
        <x:f>'500件商品'!F452</x:f>
        <x:v>13</x:v>
      </x:c>
      <x:c r="E452" s="24" t="str">
        <x:f>'500件商品'!K452</x:f>
        <x:v>是</x:v>
      </x:c>
      <x:c r="F452" s="24" t="str">
        <x:f>'500件商品'!L452</x:f>
        <x:v>11-2月</x:v>
      </x:c>
      <x:c r="G452" s="28" t="n">
        <x:f>'500件商品'!M452</x:f>
        <x:v>3</x:v>
      </x:c>
      <x:c r="H452" s="24" t="str">
        <x:f>'500件商品'!P452</x:f>
        <x:v>否</x:v>
      </x:c>
      <x:c r="I452" s="26" t="n">
        <x:f>'500件商品'!N452</x:f>
        <x:v>57</x:v>
      </x:c>
      <x:c r="J452" s="26" t="str">
        <x:f>'500件商品'!O452</x:f>
      </x:c>
      <x:c r="K452" s="26" t="n">
        <x:f>IF(H452="是",CEILING(I452/J452,1),0)</x:f>
        <x:v>0</x:v>
      </x:c>
      <x:c r="L452" s="26" t="n">
        <x:f>ROUND(I452*G452,0)</x:f>
        <x:v>171</x:v>
      </x:c>
      <x:c r="M452" s="26" t="n">
        <x:f>IF(H452="是",CEILING(L452/J452,1),0)</x:f>
        <x:v>0</x:v>
      </x:c>
      <x:c r="N452" s="26" t="n">
        <x:f>M452-K452</x:f>
        <x:v>0</x:v>
      </x:c>
      <x:c r="O452" s="24" t="str">
        <x:f>'500件商品'!Q452</x:f>
        <x:v>3區</x:v>
      </x:c>
      <x:c r="P452" s="26" t="n">
        <x:f>'500件商品'!R452</x:f>
        <x:v>40</x:v>
      </x:c>
      <x:c r="Q452" s="24" t="str">
        <x:f>IF(H452="否","非棧板管理",IF(AND(E452="是",N452&gt;0),"季節彈性前移區",IF(OR(C452="Cluster 3",D452&gt;=55),"近端低層棧板區",IF(C452="Cluster 2","中段大貨位",IF(C452="Cluster 4","遠端彈性儲位","中段棧板區")))))</x:f>
        <x:v>非棧板管理</x:v>
      </x:c>
      <x:c r="R452" s="24" t="str">
        <x:f>IF(AND(H452="是",E452="是",N452&gt;0),"是","否")</x:f>
        <x:v>否</x:v>
      </x:c>
      <x:c r="S452" s="24" t="str">
        <x:f>IF(H452="否","非本次棧板儲位分析對象",IF(R452="是","旺季前需前移並增加棧板位",IF(N452&gt;0,"需增加棧板位",IF(N452&lt;0,"可釋放部分棧板位","維持現況"))))</x:f>
        <x:v>非本次棧板儲位分析對象</x:v>
      </x:c>
    </x:row>
    <x:row r="453">
      <x:c r="A453" s="24" t="str">
        <x:f>'500件商品'!A453</x:f>
        <x:v>PX0449</x:v>
      </x:c>
      <x:c r="B453" s="24" t="str">
        <x:f>'500件商品'!B453</x:f>
        <x:v>端午禮盒-小包裝</x:v>
      </x:c>
      <x:c r="C453" s="24" t="str">
        <x:f>'500件商品'!D453</x:f>
        <x:v>Cluster 4</x:v>
      </x:c>
      <x:c r="D453" s="26" t="n">
        <x:f>'500件商品'!F453</x:f>
        <x:v>10</x:v>
      </x:c>
      <x:c r="E453" s="24" t="str">
        <x:f>'500件商品'!K453</x:f>
        <x:v>是</x:v>
      </x:c>
      <x:c r="F453" s="24" t="str">
        <x:f>'500件商品'!L453</x:f>
        <x:v>1-2月</x:v>
      </x:c>
      <x:c r="G453" s="28" t="n">
        <x:f>'500件商品'!M453</x:f>
        <x:v>2.5</x:v>
      </x:c>
      <x:c r="H453" s="24" t="str">
        <x:f>'500件商品'!P453</x:f>
        <x:v>是</x:v>
      </x:c>
      <x:c r="I453" s="26" t="n">
        <x:f>'500件商品'!N453</x:f>
        <x:v>91</x:v>
      </x:c>
      <x:c r="J453" s="26" t="n">
        <x:f>'500件商品'!O453</x:f>
        <x:v>30</x:v>
      </x:c>
      <x:c r="K453" s="26" t="n">
        <x:f>IF(H453="是",CEILING(I453/J453,1),0)</x:f>
        <x:v>4</x:v>
      </x:c>
      <x:c r="L453" s="26" t="n">
        <x:f>ROUND(I453*G453,0)</x:f>
        <x:v>228</x:v>
      </x:c>
      <x:c r="M453" s="26" t="n">
        <x:f>IF(H453="是",CEILING(L453/J453,1),0)</x:f>
        <x:v>8</x:v>
      </x:c>
      <x:c r="N453" s="26" t="n">
        <x:f>M453-K453</x:f>
        <x:v>4</x:v>
      </x:c>
      <x:c r="O453" s="24" t="str">
        <x:f>'500件商品'!Q453</x:f>
        <x:v>3區</x:v>
      </x:c>
      <x:c r="P453" s="26" t="n">
        <x:f>'500件商品'!R453</x:f>
        <x:v>45</x:v>
      </x:c>
      <x:c r="Q453" s="24" t="str">
        <x:f>IF(H453="否","非棧板管理",IF(AND(E453="是",N453&gt;0),"季節彈性前移區",IF(OR(C453="Cluster 3",D453&gt;=55),"近端低層棧板區",IF(C453="Cluster 2","中段大貨位",IF(C453="Cluster 4","遠端彈性儲位","中段棧板區")))))</x:f>
        <x:v>季節彈性前移區</x:v>
      </x:c>
      <x:c r="R453" s="24" t="str">
        <x:f>IF(AND(H453="是",E453="是",N453&gt;0),"是","否")</x:f>
        <x:v>是</x:v>
      </x:c>
      <x:c r="S453" s="24" t="str">
        <x:f>IF(H453="否","非本次棧板儲位分析對象",IF(R453="是","旺季前需前移並增加棧板位",IF(N453&gt;0,"需增加棧板位",IF(N453&lt;0,"可釋放部分棧板位","維持現況"))))</x:f>
        <x:v>旺季前需前移並增加棧板位</x:v>
      </x:c>
    </x:row>
    <x:row r="454">
      <x:c r="A454" s="24" t="str">
        <x:f>'500件商品'!A454</x:f>
        <x:v>PX0450</x:v>
      </x:c>
      <x:c r="B454" s="24" t="str">
        <x:f>'500件商品'!B454</x:f>
        <x:v>咖哩塊箱-家庭號</x:v>
      </x:c>
      <x:c r="C454" s="24" t="str">
        <x:f>'500件商品'!D454</x:f>
        <x:v>Cluster 5</x:v>
      </x:c>
      <x:c r="D454" s="26" t="n">
        <x:f>'500件商品'!F454</x:f>
        <x:v>41</x:v>
      </x:c>
      <x:c r="E454" s="24" t="str">
        <x:f>'500件商品'!K454</x:f>
        <x:v>否</x:v>
      </x:c>
      <x:c r="F454" s="24" t="str">
        <x:f>'500件商品'!L454</x:f>
      </x:c>
      <x:c r="G454" s="28" t="n">
        <x:f>'500件商品'!M454</x:f>
        <x:v>1</x:v>
      </x:c>
      <x:c r="H454" s="24" t="str">
        <x:f>'500件商品'!P454</x:f>
        <x:v>是</x:v>
      </x:c>
      <x:c r="I454" s="26" t="n">
        <x:f>'500件商品'!N454</x:f>
        <x:v>245</x:v>
      </x:c>
      <x:c r="J454" s="26" t="n">
        <x:f>'500件商品'!O454</x:f>
        <x:v>48</x:v>
      </x:c>
      <x:c r="K454" s="26" t="n">
        <x:f>IF(H454="是",CEILING(I454/J454,1),0)</x:f>
        <x:v>6</x:v>
      </x:c>
      <x:c r="L454" s="26" t="n">
        <x:f>ROUND(I454*G454,0)</x:f>
        <x:v>245</x:v>
      </x:c>
      <x:c r="M454" s="26" t="n">
        <x:f>IF(H454="是",CEILING(L454/J454,1),0)</x:f>
        <x:v>6</x:v>
      </x:c>
      <x:c r="N454" s="26" t="n">
        <x:f>M454-K454</x:f>
        <x:v>0</x:v>
      </x:c>
      <x:c r="O454" s="24" t="str">
        <x:f>'500件商品'!Q454</x:f>
        <x:v>A區</x:v>
      </x:c>
      <x:c r="P454" s="26" t="n">
        <x:f>'500件商品'!R454</x:f>
        <x:v>34</x:v>
      </x:c>
      <x:c r="Q454" s="24" t="str">
        <x:f>IF(H454="否","非棧板管理",IF(AND(E454="是",N454&gt;0),"季節彈性前移區",IF(OR(C454="Cluster 3",D454&gt;=55),"近端低層棧板區",IF(C454="Cluster 2","中段大貨位",IF(C454="Cluster 4","遠端彈性儲位","中段棧板區")))))</x:f>
        <x:v>中段棧板區</x:v>
      </x:c>
      <x:c r="R454" s="24" t="str">
        <x:f>IF(AND(H454="是",E454="是",N454&gt;0),"是","否")</x:f>
        <x:v>否</x:v>
      </x:c>
      <x:c r="S454" s="24" t="str">
        <x:f>IF(H454="否","非本次棧板儲位分析對象",IF(R454="是","旺季前需前移並增加棧板位",IF(N454&gt;0,"需增加棧板位",IF(N454&lt;0,"可釋放部分棧板位","維持現況"))))</x:f>
        <x:v>維持現況</x:v>
      </x:c>
    </x:row>
    <x:row r="455">
      <x:c r="A455" s="24" t="str">
        <x:f>'500件商品'!A455</x:f>
        <x:v>PX0451</x:v>
      </x:c>
      <x:c r="B455" s="24" t="str">
        <x:f>'500件商品'!B455</x:f>
        <x:v>寵物飼料5kg-家庭號</x:v>
      </x:c>
      <x:c r="C455" s="24" t="str">
        <x:f>'500件商品'!D455</x:f>
        <x:v>Cluster 2</x:v>
      </x:c>
      <x:c r="D455" s="26" t="n">
        <x:f>'500件商品'!F455</x:f>
        <x:v>23</x:v>
      </x:c>
      <x:c r="E455" s="24" t="str">
        <x:f>'500件商品'!K455</x:f>
        <x:v>否</x:v>
      </x:c>
      <x:c r="F455" s="24" t="str">
        <x:f>'500件商品'!L455</x:f>
      </x:c>
      <x:c r="G455" s="28" t="n">
        <x:f>'500件商品'!M455</x:f>
        <x:v>1</x:v>
      </x:c>
      <x:c r="H455" s="24" t="str">
        <x:f>'500件商品'!P455</x:f>
        <x:v>是</x:v>
      </x:c>
      <x:c r="I455" s="26" t="n">
        <x:f>'500件商品'!N455</x:f>
        <x:v>150</x:v>
      </x:c>
      <x:c r="J455" s="26" t="n">
        <x:f>'500件商品'!O455</x:f>
        <x:v>30</x:v>
      </x:c>
      <x:c r="K455" s="26" t="n">
        <x:f>IF(H455="是",CEILING(I455/J455,1),0)</x:f>
        <x:v>5</x:v>
      </x:c>
      <x:c r="L455" s="26" t="n">
        <x:f>ROUND(I455*G455,0)</x:f>
        <x:v>150</x:v>
      </x:c>
      <x:c r="M455" s="26" t="n">
        <x:f>IF(H455="是",CEILING(L455/J455,1),0)</x:f>
        <x:v>5</x:v>
      </x:c>
      <x:c r="N455" s="26" t="n">
        <x:f>M455-K455</x:f>
        <x:v>0</x:v>
      </x:c>
      <x:c r="O455" s="24" t="str">
        <x:f>'500件商品'!Q455</x:f>
        <x:v>1區</x:v>
      </x:c>
      <x:c r="P455" s="26" t="n">
        <x:f>'500件商品'!R455</x:f>
        <x:v>20</x:v>
      </x:c>
      <x:c r="Q455" s="24" t="str">
        <x:f>IF(H455="否","非棧板管理",IF(AND(E455="是",N455&gt;0),"季節彈性前移區",IF(OR(C455="Cluster 3",D455&gt;=55),"近端低層棧板區",IF(C455="Cluster 2","中段大貨位",IF(C455="Cluster 4","遠端彈性儲位","中段棧板區")))))</x:f>
        <x:v>中段大貨位</x:v>
      </x:c>
      <x:c r="R455" s="24" t="str">
        <x:f>IF(AND(H455="是",E455="是",N455&gt;0),"是","否")</x:f>
        <x:v>否</x:v>
      </x:c>
      <x:c r="S455" s="24" t="str">
        <x:f>IF(H455="否","非本次棧板儲位分析對象",IF(R455="是","旺季前需前移並增加棧板位",IF(N455&gt;0,"需增加棧板位",IF(N455&lt;0,"可釋放部分棧板位","維持現況"))))</x:f>
        <x:v>維持現況</x:v>
      </x:c>
    </x:row>
    <x:row r="456">
      <x:c r="A456" s="24" t="str">
        <x:f>'500件商品'!A456</x:f>
        <x:v>PX0452</x:v>
      </x:c>
      <x:c r="B456" s="24" t="str">
        <x:f>'500件商品'!B456</x:f>
        <x:v>玻璃瓶醬料-家庭號</x:v>
      </x:c>
      <x:c r="C456" s="24" t="str">
        <x:f>'500件商品'!D456</x:f>
        <x:v>Cluster 2</x:v>
      </x:c>
      <x:c r="D456" s="26" t="n">
        <x:f>'500件商品'!F456</x:f>
        <x:v>29</x:v>
      </x:c>
      <x:c r="E456" s="24" t="str">
        <x:f>'500件商品'!K456</x:f>
        <x:v>否</x:v>
      </x:c>
      <x:c r="F456" s="24" t="str">
        <x:f>'500件商品'!L456</x:f>
      </x:c>
      <x:c r="G456" s="28" t="n">
        <x:f>'500件商品'!M456</x:f>
        <x:v>1</x:v>
      </x:c>
      <x:c r="H456" s="24" t="str">
        <x:f>'500件商品'!P456</x:f>
        <x:v>是</x:v>
      </x:c>
      <x:c r="I456" s="26" t="n">
        <x:f>'500件商品'!N456</x:f>
        <x:v>148</x:v>
      </x:c>
      <x:c r="J456" s="26" t="n">
        <x:f>'500件商品'!O456</x:f>
        <x:v>30</x:v>
      </x:c>
      <x:c r="K456" s="26" t="n">
        <x:f>IF(H456="是",CEILING(I456/J456,1),0)</x:f>
        <x:v>5</x:v>
      </x:c>
      <x:c r="L456" s="26" t="n">
        <x:f>ROUND(I456*G456,0)</x:f>
        <x:v>148</x:v>
      </x:c>
      <x:c r="M456" s="26" t="n">
        <x:f>IF(H456="是",CEILING(L456/J456,1),0)</x:f>
        <x:v>5</x:v>
      </x:c>
      <x:c r="N456" s="26" t="n">
        <x:f>M456-K456</x:f>
        <x:v>0</x:v>
      </x:c>
      <x:c r="O456" s="24" t="str">
        <x:f>'500件商品'!Q456</x:f>
        <x:v>3區</x:v>
      </x:c>
      <x:c r="P456" s="26" t="n">
        <x:f>'500件商品'!R456</x:f>
        <x:v>45</x:v>
      </x:c>
      <x:c r="Q456" s="24" t="str">
        <x:f>IF(H456="否","非棧板管理",IF(AND(E456="是",N456&gt;0),"季節彈性前移區",IF(OR(C456="Cluster 3",D456&gt;=55),"近端低層棧板區",IF(C456="Cluster 2","中段大貨位",IF(C456="Cluster 4","遠端彈性儲位","中段棧板區")))))</x:f>
        <x:v>中段大貨位</x:v>
      </x:c>
      <x:c r="R456" s="24" t="str">
        <x:f>IF(AND(H456="是",E456="是",N456&gt;0),"是","否")</x:f>
        <x:v>否</x:v>
      </x:c>
      <x:c r="S456" s="24" t="str">
        <x:f>IF(H456="否","非本次棧板儲位分析對象",IF(R456="是","旺季前需前移並增加棧板位",IF(N456&gt;0,"需增加棧板位",IF(N456&lt;0,"可釋放部分棧板位","維持現況"))))</x:f>
        <x:v>維持現況</x:v>
      </x:c>
    </x:row>
    <x:row r="457">
      <x:c r="A457" s="24" t="str">
        <x:f>'500件商品'!A457</x:f>
        <x:v>PX0453</x:v>
      </x:c>
      <x:c r="B457" s="24" t="str">
        <x:f>'500件商品'!B457</x:f>
        <x:v>牙刷組-箱裝</x:v>
      </x:c>
      <x:c r="C457" s="24" t="str">
        <x:f>'500件商品'!D457</x:f>
        <x:v>Cluster 5</x:v>
      </x:c>
      <x:c r="D457" s="26" t="n">
        <x:f>'500件商品'!F457</x:f>
        <x:v>9</x:v>
      </x:c>
      <x:c r="E457" s="24" t="str">
        <x:f>'500件商品'!K457</x:f>
        <x:v>否</x:v>
      </x:c>
      <x:c r="F457" s="24" t="str">
        <x:f>'500件商品'!L457</x:f>
      </x:c>
      <x:c r="G457" s="28" t="n">
        <x:f>'500件商品'!M457</x:f>
        <x:v>1</x:v>
      </x:c>
      <x:c r="H457" s="24" t="str">
        <x:f>'500件商品'!P457</x:f>
        <x:v>否</x:v>
      </x:c>
      <x:c r="I457" s="26" t="n">
        <x:f>'500件商品'!N457</x:f>
        <x:v>63</x:v>
      </x:c>
      <x:c r="J457" s="26" t="str">
        <x:f>'500件商品'!O457</x:f>
      </x:c>
      <x:c r="K457" s="26" t="n">
        <x:f>IF(H457="是",CEILING(I457/J457,1),0)</x:f>
        <x:v>0</x:v>
      </x:c>
      <x:c r="L457" s="26" t="n">
        <x:f>ROUND(I457*G457,0)</x:f>
        <x:v>63</x:v>
      </x:c>
      <x:c r="M457" s="26" t="n">
        <x:f>IF(H457="是",CEILING(L457/J457,1),0)</x:f>
        <x:v>0</x:v>
      </x:c>
      <x:c r="N457" s="26" t="n">
        <x:f>M457-K457</x:f>
        <x:v>0</x:v>
      </x:c>
      <x:c r="O457" s="24" t="str">
        <x:f>'500件商品'!Q457</x:f>
        <x:v>A區</x:v>
      </x:c>
      <x:c r="P457" s="26" t="n">
        <x:f>'500件商品'!R457</x:f>
        <x:v>33</x:v>
      </x:c>
      <x:c r="Q457" s="24" t="str">
        <x:f>IF(H457="否","非棧板管理",IF(AND(E457="是",N457&gt;0),"季節彈性前移區",IF(OR(C457="Cluster 3",D457&gt;=55),"近端低層棧板區",IF(C457="Cluster 2","中段大貨位",IF(C457="Cluster 4","遠端彈性儲位","中段棧板區")))))</x:f>
        <x:v>非棧板管理</x:v>
      </x:c>
      <x:c r="R457" s="24" t="str">
        <x:f>IF(AND(H457="是",E457="是",N457&gt;0),"是","否")</x:f>
        <x:v>否</x:v>
      </x:c>
      <x:c r="S457" s="24" t="str">
        <x:f>IF(H457="否","非本次棧板儲位分析對象",IF(R457="是","旺季前需前移並增加棧板位",IF(N457&gt;0,"需增加棧板位",IF(N457&lt;0,"可釋放部分棧板位","維持現況"))))</x:f>
        <x:v>非本次棧板儲位分析對象</x:v>
      </x:c>
    </x:row>
    <x:row r="458">
      <x:c r="A458" s="24" t="str">
        <x:f>'500件商品'!A458</x:f>
        <x:v>PX0454</x:v>
      </x:c>
      <x:c r="B458" s="24" t="str">
        <x:f>'500件商品'!B458</x:f>
        <x:v>寵物尿布墊-補充包</x:v>
      </x:c>
      <x:c r="C458" s="24" t="str">
        <x:f>'500件商品'!D458</x:f>
        <x:v>Cluster 2</x:v>
      </x:c>
      <x:c r="D458" s="26" t="n">
        <x:f>'500件商品'!F458</x:f>
        <x:v>10</x:v>
      </x:c>
      <x:c r="E458" s="24" t="str">
        <x:f>'500件商品'!K458</x:f>
        <x:v>否</x:v>
      </x:c>
      <x:c r="F458" s="24" t="str">
        <x:f>'500件商品'!L458</x:f>
      </x:c>
      <x:c r="G458" s="28" t="n">
        <x:f>'500件商品'!M458</x:f>
        <x:v>1.1</x:v>
      </x:c>
      <x:c r="H458" s="24" t="str">
        <x:f>'500件商品'!P458</x:f>
        <x:v>是</x:v>
      </x:c>
      <x:c r="I458" s="26" t="n">
        <x:f>'500件商品'!N458</x:f>
        <x:v>45</x:v>
      </x:c>
      <x:c r="J458" s="26" t="n">
        <x:f>'500件商品'!O458</x:f>
        <x:v>24</x:v>
      </x:c>
      <x:c r="K458" s="26" t="n">
        <x:f>IF(H458="是",CEILING(I458/J458,1),0)</x:f>
        <x:v>2</x:v>
      </x:c>
      <x:c r="L458" s="26" t="n">
        <x:f>ROUND(I458*G458,0)</x:f>
        <x:v>50</x:v>
      </x:c>
      <x:c r="M458" s="26" t="n">
        <x:f>IF(H458="是",CEILING(L458/J458,1),0)</x:f>
        <x:v>3</x:v>
      </x:c>
      <x:c r="N458" s="26" t="n">
        <x:f>M458-K458</x:f>
        <x:v>1</x:v>
      </x:c>
      <x:c r="O458" s="24" t="str">
        <x:f>'500件商品'!Q458</x:f>
        <x:v>A區</x:v>
      </x:c>
      <x:c r="P458" s="26" t="n">
        <x:f>'500件商品'!R458</x:f>
        <x:v>32</x:v>
      </x:c>
      <x:c r="Q458" s="24" t="str">
        <x:f>IF(H458="否","非棧板管理",IF(AND(E458="是",N458&gt;0),"季節彈性前移區",IF(OR(C458="Cluster 3",D458&gt;=55),"近端低層棧板區",IF(C458="Cluster 2","中段大貨位",IF(C458="Cluster 4","遠端彈性儲位","中段棧板區")))))</x:f>
        <x:v>中段大貨位</x:v>
      </x:c>
      <x:c r="R458" s="24" t="str">
        <x:f>IF(AND(H458="是",E458="是",N458&gt;0),"是","否")</x:f>
        <x:v>否</x:v>
      </x:c>
      <x:c r="S458" s="24" t="str">
        <x:f>IF(H458="否","非本次棧板儲位分析對象",IF(R458="是","旺季前需前移並增加棧板位",IF(N458&gt;0,"需增加棧板位",IF(N458&lt;0,"可釋放部分棧板位","維持現況"))))</x:f>
        <x:v>需增加棧板位</x:v>
      </x:c>
    </x:row>
    <x:row r="459">
      <x:c r="A459" s="24" t="str">
        <x:f>'500件商品'!A459</x:f>
        <x:v>PX0455</x:v>
      </x:c>
      <x:c r="B459" s="24" t="str">
        <x:f>'500件商品'!B459</x:f>
        <x:v>擦手紙箱-箱裝</x:v>
      </x:c>
      <x:c r="C459" s="24" t="str">
        <x:f>'500件商品'!D459</x:f>
        <x:v>Cluster 2</x:v>
      </x:c>
      <x:c r="D459" s="26" t="n">
        <x:f>'500件商品'!F459</x:f>
        <x:v>20</x:v>
      </x:c>
      <x:c r="E459" s="24" t="str">
        <x:f>'500件商品'!K459</x:f>
        <x:v>否</x:v>
      </x:c>
      <x:c r="F459" s="24" t="str">
        <x:f>'500件商品'!L459</x:f>
      </x:c>
      <x:c r="G459" s="28" t="n">
        <x:f>'500件商品'!M459</x:f>
        <x:v>1</x:v>
      </x:c>
      <x:c r="H459" s="24" t="str">
        <x:f>'500件商品'!P459</x:f>
        <x:v>是</x:v>
      </x:c>
      <x:c r="I459" s="26" t="n">
        <x:f>'500件商品'!N459</x:f>
        <x:v>141</x:v>
      </x:c>
      <x:c r="J459" s="26" t="n">
        <x:f>'500件商品'!O459</x:f>
        <x:v>24</x:v>
      </x:c>
      <x:c r="K459" s="26" t="n">
        <x:f>IF(H459="是",CEILING(I459/J459,1),0)</x:f>
        <x:v>6</x:v>
      </x:c>
      <x:c r="L459" s="26" t="n">
        <x:f>ROUND(I459*G459,0)</x:f>
        <x:v>141</x:v>
      </x:c>
      <x:c r="M459" s="26" t="n">
        <x:f>IF(H459="是",CEILING(L459/J459,1),0)</x:f>
        <x:v>6</x:v>
      </x:c>
      <x:c r="N459" s="26" t="n">
        <x:f>M459-K459</x:f>
        <x:v>0</x:v>
      </x:c>
      <x:c r="O459" s="24" t="str">
        <x:f>'500件商品'!Q459</x:f>
        <x:v>3區</x:v>
      </x:c>
      <x:c r="P459" s="26" t="n">
        <x:f>'500件商品'!R459</x:f>
        <x:v>40</x:v>
      </x:c>
      <x:c r="Q459" s="24" t="str">
        <x:f>IF(H459="否","非棧板管理",IF(AND(E459="是",N459&gt;0),"季節彈性前移區",IF(OR(C459="Cluster 3",D459&gt;=55),"近端低層棧板區",IF(C459="Cluster 2","中段大貨位",IF(C459="Cluster 4","遠端彈性儲位","中段棧板區")))))</x:f>
        <x:v>中段大貨位</x:v>
      </x:c>
      <x:c r="R459" s="24" t="str">
        <x:f>IF(AND(H459="是",E459="是",N459&gt;0),"是","否")</x:f>
        <x:v>否</x:v>
      </x:c>
      <x:c r="S459" s="24" t="str">
        <x:f>IF(H459="否","非本次棧板儲位分析對象",IF(R459="是","旺季前需前移並增加棧板位",IF(N459&gt;0,"需增加棧板位",IF(N459&lt;0,"可釋放部分棧板位","維持現況"))))</x:f>
        <x:v>維持現況</x:v>
      </x:c>
    </x:row>
    <x:row r="460">
      <x:c r="A460" s="24" t="str">
        <x:f>'500件商品'!A460</x:f>
        <x:v>PX0456</x:v>
      </x:c>
      <x:c r="B460" s="24" t="str">
        <x:f>'500件商品'!B460</x:f>
        <x:v>口罩盒-補充包</x:v>
      </x:c>
      <x:c r="C460" s="24" t="str">
        <x:f>'500件商品'!D460</x:f>
        <x:v>Cluster 5</x:v>
      </x:c>
      <x:c r="D460" s="26" t="n">
        <x:f>'500件商品'!F460</x:f>
        <x:v>80</x:v>
      </x:c>
      <x:c r="E460" s="24" t="str">
        <x:f>'500件商品'!K460</x:f>
        <x:v>否</x:v>
      </x:c>
      <x:c r="F460" s="24" t="str">
        <x:f>'500件商品'!L460</x:f>
      </x:c>
      <x:c r="G460" s="28" t="n">
        <x:f>'500件商品'!M460</x:f>
        <x:v>1.1</x:v>
      </x:c>
      <x:c r="H460" s="24" t="str">
        <x:f>'500件商品'!P460</x:f>
        <x:v>是</x:v>
      </x:c>
      <x:c r="I460" s="26" t="n">
        <x:f>'500件商品'!N460</x:f>
        <x:v>672</x:v>
      </x:c>
      <x:c r="J460" s="26" t="n">
        <x:f>'500件商品'!O460</x:f>
        <x:v>72</x:v>
      </x:c>
      <x:c r="K460" s="26" t="n">
        <x:f>IF(H460="是",CEILING(I460/J460,1),0)</x:f>
        <x:v>10</x:v>
      </x:c>
      <x:c r="L460" s="26" t="n">
        <x:f>ROUND(I460*G460,0)</x:f>
        <x:v>739</x:v>
      </x:c>
      <x:c r="M460" s="26" t="n">
        <x:f>IF(H460="是",CEILING(L460/J460,1),0)</x:f>
        <x:v>11</x:v>
      </x:c>
      <x:c r="N460" s="26" t="n">
        <x:f>M460-K460</x:f>
        <x:v>1</x:v>
      </x:c>
      <x:c r="O460" s="24" t="str">
        <x:f>'500件商品'!Q460</x:f>
        <x:v>遠端區</x:v>
      </x:c>
      <x:c r="P460" s="26" t="n">
        <x:f>'500件商品'!R460</x:f>
        <x:v>72</x:v>
      </x:c>
      <x:c r="Q460" s="24" t="str">
        <x:f>IF(H460="否","非棧板管理",IF(AND(E460="是",N460&gt;0),"季節彈性前移區",IF(OR(C460="Cluster 3",D460&gt;=55),"近端低層棧板區",IF(C460="Cluster 2","中段大貨位",IF(C460="Cluster 4","遠端彈性儲位","中段棧板區")))))</x:f>
        <x:v>近端低層棧板區</x:v>
      </x:c>
      <x:c r="R460" s="24" t="str">
        <x:f>IF(AND(H460="是",E460="是",N460&gt;0),"是","否")</x:f>
        <x:v>否</x:v>
      </x:c>
      <x:c r="S460" s="24" t="str">
        <x:f>IF(H460="否","非本次棧板儲位分析對象",IF(R460="是","旺季前需前移並增加棧板位",IF(N460&gt;0,"需增加棧板位",IF(N460&lt;0,"可釋放部分棧板位","維持現況"))))</x:f>
        <x:v>需增加棧板位</x:v>
      </x:c>
    </x:row>
    <x:row r="461">
      <x:c r="A461" s="24" t="str">
        <x:f>'500件商品'!A461</x:f>
        <x:v>PX0457</x:v>
      </x:c>
      <x:c r="B461" s="24" t="str">
        <x:f>'500件商品'!B461</x:f>
        <x:v>牙膏組-小包裝</x:v>
      </x:c>
      <x:c r="C461" s="24" t="str">
        <x:f>'500件商品'!D461</x:f>
        <x:v>Cluster 5</x:v>
      </x:c>
      <x:c r="D461" s="26" t="n">
        <x:f>'500件商品'!F461</x:f>
        <x:v>43</x:v>
      </x:c>
      <x:c r="E461" s="24" t="str">
        <x:f>'500件商品'!K461</x:f>
        <x:v>否</x:v>
      </x:c>
      <x:c r="F461" s="24" t="str">
        <x:f>'500件商品'!L461</x:f>
      </x:c>
      <x:c r="G461" s="28" t="n">
        <x:f>'500件商品'!M461</x:f>
        <x:v>1</x:v>
      </x:c>
      <x:c r="H461" s="24" t="str">
        <x:f>'500件商品'!P461</x:f>
        <x:v>是</x:v>
      </x:c>
      <x:c r="I461" s="26" t="n">
        <x:f>'500件商品'!N461</x:f>
        <x:v>331</x:v>
      </x:c>
      <x:c r="J461" s="26" t="n">
        <x:f>'500件商品'!O461</x:f>
        <x:v>60</x:v>
      </x:c>
      <x:c r="K461" s="26" t="n">
        <x:f>IF(H461="是",CEILING(I461/J461,1),0)</x:f>
        <x:v>6</x:v>
      </x:c>
      <x:c r="L461" s="26" t="n">
        <x:f>ROUND(I461*G461,0)</x:f>
        <x:v>331</x:v>
      </x:c>
      <x:c r="M461" s="26" t="n">
        <x:f>IF(H461="是",CEILING(L461/J461,1),0)</x:f>
        <x:v>6</x:v>
      </x:c>
      <x:c r="N461" s="26" t="n">
        <x:f>M461-K461</x:f>
        <x:v>0</x:v>
      </x:c>
      <x:c r="O461" s="24" t="str">
        <x:f>'500件商品'!Q461</x:f>
        <x:v>1區</x:v>
      </x:c>
      <x:c r="P461" s="26" t="n">
        <x:f>'500件商品'!R461</x:f>
        <x:v>35</x:v>
      </x:c>
      <x:c r="Q461" s="24" t="str">
        <x:f>IF(H461="否","非棧板管理",IF(AND(E461="是",N461&gt;0),"季節彈性前移區",IF(OR(C461="Cluster 3",D461&gt;=55),"近端低層棧板區",IF(C461="Cluster 2","中段大貨位",IF(C461="Cluster 4","遠端彈性儲位","中段棧板區")))))</x:f>
        <x:v>中段棧板區</x:v>
      </x:c>
      <x:c r="R461" s="24" t="str">
        <x:f>IF(AND(H461="是",E461="是",N461&gt;0),"是","否")</x:f>
        <x:v>否</x:v>
      </x:c>
      <x:c r="S461" s="24" t="str">
        <x:f>IF(H461="否","非本次棧板儲位分析對象",IF(R461="是","旺季前需前移並增加棧板位",IF(N461&gt;0,"需增加棧板位",IF(N461&lt;0,"可釋放部分棧板位","維持現況"))))</x:f>
        <x:v>維持現況</x:v>
      </x:c>
    </x:row>
    <x:row r="462">
      <x:c r="A462" s="24" t="str">
        <x:f>'500件商品'!A462</x:f>
        <x:v>PX0458</x:v>
      </x:c>
      <x:c r="B462" s="24" t="str">
        <x:f>'500件商品'!B462</x:f>
        <x:v>運動飲料整箱-促銷組</x:v>
      </x:c>
      <x:c r="C462" s="24" t="str">
        <x:f>'500件商品'!D462</x:f>
        <x:v>Cluster 2</x:v>
      </x:c>
      <x:c r="D462" s="26" t="n">
        <x:f>'500件商品'!F462</x:f>
        <x:v>39</x:v>
      </x:c>
      <x:c r="E462" s="24" t="str">
        <x:f>'500件商品'!K462</x:f>
        <x:v>否</x:v>
      </x:c>
      <x:c r="F462" s="24" t="str">
        <x:f>'500件商品'!L462</x:f>
      </x:c>
      <x:c r="G462" s="28" t="n">
        <x:f>'500件商品'!M462</x:f>
        <x:v>1.5</x:v>
      </x:c>
      <x:c r="H462" s="24" t="str">
        <x:f>'500件商品'!P462</x:f>
        <x:v>是</x:v>
      </x:c>
      <x:c r="I462" s="26" t="n">
        <x:f>'500件商品'!N462</x:f>
        <x:v>199</x:v>
      </x:c>
      <x:c r="J462" s="26" t="n">
        <x:f>'500件商品'!O462</x:f>
        <x:v>36</x:v>
      </x:c>
      <x:c r="K462" s="26" t="n">
        <x:f>IF(H462="是",CEILING(I462/J462,1),0)</x:f>
        <x:v>6</x:v>
      </x:c>
      <x:c r="L462" s="26" t="n">
        <x:f>ROUND(I462*G462,0)</x:f>
        <x:v>299</x:v>
      </x:c>
      <x:c r="M462" s="26" t="n">
        <x:f>IF(H462="是",CEILING(L462/J462,1),0)</x:f>
        <x:v>9</x:v>
      </x:c>
      <x:c r="N462" s="26" t="n">
        <x:f>M462-K462</x:f>
        <x:v>3</x:v>
      </x:c>
      <x:c r="O462" s="24" t="str">
        <x:f>'500件商品'!Q462</x:f>
        <x:v>3區</x:v>
      </x:c>
      <x:c r="P462" s="26" t="n">
        <x:f>'500件商品'!R462</x:f>
        <x:v>47</x:v>
      </x:c>
      <x:c r="Q462" s="24" t="str">
        <x:f>IF(H462="否","非棧板管理",IF(AND(E462="是",N462&gt;0),"季節彈性前移區",IF(OR(C462="Cluster 3",D462&gt;=55),"近端低層棧板區",IF(C462="Cluster 2","中段大貨位",IF(C462="Cluster 4","遠端彈性儲位","中段棧板區")))))</x:f>
        <x:v>中段大貨位</x:v>
      </x:c>
      <x:c r="R462" s="24" t="str">
        <x:f>IF(AND(H462="是",E462="是",N462&gt;0),"是","否")</x:f>
        <x:v>否</x:v>
      </x:c>
      <x:c r="S462" s="24" t="str">
        <x:f>IF(H462="否","非本次棧板儲位分析對象",IF(R462="是","旺季前需前移並增加棧板位",IF(N462&gt;0,"需增加棧板位",IF(N462&lt;0,"可釋放部分棧板位","維持現況"))))</x:f>
        <x:v>需增加棧板位</x:v>
      </x:c>
    </x:row>
    <x:row r="463">
      <x:c r="A463" s="24" t="str">
        <x:f>'500件商品'!A463</x:f>
        <x:v>PX0459</x:v>
      </x:c>
      <x:c r="B463" s="24" t="str">
        <x:f>'500件商品'!B463</x:f>
        <x:v>白米3kg-小包裝</x:v>
      </x:c>
      <x:c r="C463" s="24" t="str">
        <x:f>'500件商品'!D463</x:f>
        <x:v>Cluster 2</x:v>
      </x:c>
      <x:c r="D463" s="26" t="n">
        <x:f>'500件商品'!F463</x:f>
        <x:v>37</x:v>
      </x:c>
      <x:c r="E463" s="24" t="str">
        <x:f>'500件商品'!K463</x:f>
        <x:v>否</x:v>
      </x:c>
      <x:c r="F463" s="24" t="str">
        <x:f>'500件商品'!L463</x:f>
      </x:c>
      <x:c r="G463" s="28" t="n">
        <x:f>'500件商品'!M463</x:f>
        <x:v>1.1</x:v>
      </x:c>
      <x:c r="H463" s="24" t="str">
        <x:f>'500件商品'!P463</x:f>
        <x:v>是</x:v>
      </x:c>
      <x:c r="I463" s="26" t="n">
        <x:f>'500件商品'!N463</x:f>
        <x:v>247</x:v>
      </x:c>
      <x:c r="J463" s="26" t="n">
        <x:f>'500件商品'!O463</x:f>
        <x:v>48</x:v>
      </x:c>
      <x:c r="K463" s="26" t="n">
        <x:f>IF(H463="是",CEILING(I463/J463,1),0)</x:f>
        <x:v>6</x:v>
      </x:c>
      <x:c r="L463" s="26" t="n">
        <x:f>ROUND(I463*G463,0)</x:f>
        <x:v>272</x:v>
      </x:c>
      <x:c r="M463" s="26" t="n">
        <x:f>IF(H463="是",CEILING(L463/J463,1),0)</x:f>
        <x:v>6</x:v>
      </x:c>
      <x:c r="N463" s="26" t="n">
        <x:f>M463-K463</x:f>
        <x:v>0</x:v>
      </x:c>
      <x:c r="O463" s="24" t="str">
        <x:f>'500件商品'!Q463</x:f>
        <x:v>1區</x:v>
      </x:c>
      <x:c r="P463" s="26" t="n">
        <x:f>'500件商品'!R463</x:f>
        <x:v>39</x:v>
      </x:c>
      <x:c r="Q463" s="24" t="str">
        <x:f>IF(H463="否","非棧板管理",IF(AND(E463="是",N463&gt;0),"季節彈性前移區",IF(OR(C463="Cluster 3",D463&gt;=55),"近端低層棧板區",IF(C463="Cluster 2","中段大貨位",IF(C463="Cluster 4","遠端彈性儲位","中段棧板區")))))</x:f>
        <x:v>中段大貨位</x:v>
      </x:c>
      <x:c r="R463" s="24" t="str">
        <x:f>IF(AND(H463="是",E463="是",N463&gt;0),"是","否")</x:f>
        <x:v>否</x:v>
      </x:c>
      <x:c r="S463" s="24" t="str">
        <x:f>IF(H463="否","非本次棧板儲位分析對象",IF(R463="是","旺季前需前移並增加棧板位",IF(N463&gt;0,"需增加棧板位",IF(N463&lt;0,"可釋放部分棧板位","維持現況"))))</x:f>
        <x:v>維持現況</x:v>
      </x:c>
    </x:row>
    <x:row r="464">
      <x:c r="A464" s="24" t="str">
        <x:f>'500件商品'!A464</x:f>
        <x:v>PX0460</x:v>
      </x:c>
      <x:c r="B464" s="24" t="str">
        <x:f>'500件商品'!B464</x:f>
        <x:v>中秋禮盒-促銷組</x:v>
      </x:c>
      <x:c r="C464" s="24" t="str">
        <x:f>'500件商品'!D464</x:f>
        <x:v>Cluster 4</x:v>
      </x:c>
      <x:c r="D464" s="26" t="n">
        <x:f>'500件商品'!F464</x:f>
        <x:v>67</x:v>
      </x:c>
      <x:c r="E464" s="24" t="str">
        <x:f>'500件商品'!K464</x:f>
        <x:v>是</x:v>
      </x:c>
      <x:c r="F464" s="24" t="str">
        <x:f>'500件商品'!L464</x:f>
        <x:v>1-2月</x:v>
      </x:c>
      <x:c r="G464" s="28" t="n">
        <x:f>'500件商品'!M464</x:f>
        <x:v>2.5</x:v>
      </x:c>
      <x:c r="H464" s="24" t="str">
        <x:f>'500件商品'!P464</x:f>
        <x:v>是</x:v>
      </x:c>
      <x:c r="I464" s="26" t="n">
        <x:f>'500件商品'!N464</x:f>
        <x:v>438</x:v>
      </x:c>
      <x:c r="J464" s="26" t="n">
        <x:f>'500件商品'!O464</x:f>
        <x:v>30</x:v>
      </x:c>
      <x:c r="K464" s="26" t="n">
        <x:f>IF(H464="是",CEILING(I464/J464,1),0)</x:f>
        <x:v>15</x:v>
      </x:c>
      <x:c r="L464" s="26" t="n">
        <x:f>ROUND(I464*G464,0)</x:f>
        <x:v>1095</x:v>
      </x:c>
      <x:c r="M464" s="26" t="n">
        <x:f>IF(H464="是",CEILING(L464/J464,1),0)</x:f>
        <x:v>37</x:v>
      </x:c>
      <x:c r="N464" s="26" t="n">
        <x:f>M464-K464</x:f>
        <x:v>22</x:v>
      </x:c>
      <x:c r="O464" s="24" t="str">
        <x:f>'500件商品'!Q464</x:f>
        <x:v>K區</x:v>
      </x:c>
      <x:c r="P464" s="26" t="n">
        <x:f>'500件商品'!R464</x:f>
        <x:v>49</x:v>
      </x:c>
      <x:c r="Q464" s="24" t="str">
        <x:f>IF(H464="否","非棧板管理",IF(AND(E464="是",N464&gt;0),"季節彈性前移區",IF(OR(C464="Cluster 3",D464&gt;=55),"近端低層棧板區",IF(C464="Cluster 2","中段大貨位",IF(C464="Cluster 4","遠端彈性儲位","中段棧板區")))))</x:f>
        <x:v>季節彈性前移區</x:v>
      </x:c>
      <x:c r="R464" s="24" t="str">
        <x:f>IF(AND(H464="是",E464="是",N464&gt;0),"是","否")</x:f>
        <x:v>是</x:v>
      </x:c>
      <x:c r="S464" s="24" t="str">
        <x:f>IF(H464="否","非本次棧板儲位分析對象",IF(R464="是","旺季前需前移並增加棧板位",IF(N464&gt;0,"需增加棧板位",IF(N464&lt;0,"可釋放部分棧板位","維持現況"))))</x:f>
        <x:v>旺季前需前移並增加棧板位</x:v>
      </x:c>
    </x:row>
    <x:row r="465">
      <x:c r="A465" s="24" t="str">
        <x:f>'500件商品'!A465</x:f>
        <x:v>PX0461</x:v>
      </x:c>
      <x:c r="B465" s="24" t="str">
        <x:f>'500件商品'!B465</x:f>
        <x:v>餅乾箱-標準箱</x:v>
      </x:c>
      <x:c r="C465" s="24" t="str">
        <x:f>'500件商品'!D465</x:f>
        <x:v>Cluster 5</x:v>
      </x:c>
      <x:c r="D465" s="26" t="n">
        <x:f>'500件商品'!F465</x:f>
        <x:v>79</x:v>
      </x:c>
      <x:c r="E465" s="24" t="str">
        <x:f>'500件商品'!K465</x:f>
        <x:v>否</x:v>
      </x:c>
      <x:c r="F465" s="24" t="str">
        <x:f>'500件商品'!L465</x:f>
      </x:c>
      <x:c r="G465" s="28" t="n">
        <x:f>'500件商品'!M465</x:f>
        <x:v>1</x:v>
      </x:c>
      <x:c r="H465" s="24" t="str">
        <x:f>'500件商品'!P465</x:f>
        <x:v>是</x:v>
      </x:c>
      <x:c r="I465" s="26" t="n">
        <x:f>'500件商品'!N465</x:f>
        <x:v>547</x:v>
      </x:c>
      <x:c r="J465" s="26" t="n">
        <x:f>'500件商品'!O465</x:f>
        <x:v>48</x:v>
      </x:c>
      <x:c r="K465" s="26" t="n">
        <x:f>IF(H465="是",CEILING(I465/J465,1),0)</x:f>
        <x:v>12</x:v>
      </x:c>
      <x:c r="L465" s="26" t="n">
        <x:f>ROUND(I465*G465,0)</x:f>
        <x:v>547</x:v>
      </x:c>
      <x:c r="M465" s="26" t="n">
        <x:f>IF(H465="是",CEILING(L465/J465,1),0)</x:f>
        <x:v>12</x:v>
      </x:c>
      <x:c r="N465" s="26" t="n">
        <x:f>M465-K465</x:f>
        <x:v>0</x:v>
      </x:c>
      <x:c r="O465" s="24" t="str">
        <x:f>'500件商品'!Q465</x:f>
        <x:v>K區</x:v>
      </x:c>
      <x:c r="P465" s="26" t="n">
        <x:f>'500件商品'!R465</x:f>
        <x:v>45</x:v>
      </x:c>
      <x:c r="Q465" s="24" t="str">
        <x:f>IF(H465="否","非棧板管理",IF(AND(E465="是",N465&gt;0),"季節彈性前移區",IF(OR(C465="Cluster 3",D465&gt;=55),"近端低層棧板區",IF(C465="Cluster 2","中段大貨位",IF(C465="Cluster 4","遠端彈性儲位","中段棧板區")))))</x:f>
        <x:v>近端低層棧板區</x:v>
      </x:c>
      <x:c r="R465" s="24" t="str">
        <x:f>IF(AND(H465="是",E465="是",N465&gt;0),"是","否")</x:f>
        <x:v>否</x:v>
      </x:c>
      <x:c r="S465" s="24" t="str">
        <x:f>IF(H465="否","非本次棧板儲位分析對象",IF(R465="是","旺季前需前移並增加棧板位",IF(N465&gt;0,"需增加棧板位",IF(N465&lt;0,"可釋放部分棧板位","維持現況"))))</x:f>
        <x:v>維持現況</x:v>
      </x:c>
    </x:row>
    <x:row r="466">
      <x:c r="A466" s="24" t="str">
        <x:f>'500件商品'!A466</x:f>
        <x:v>PX0462</x:v>
      </x:c>
      <x:c r="B466" s="24" t="str">
        <x:f>'500件商品'!B466</x:f>
        <x:v>貓砂10L-促銷組</x:v>
      </x:c>
      <x:c r="C466" s="24" t="str">
        <x:f>'500件商品'!D466</x:f>
        <x:v>Cluster 2</x:v>
      </x:c>
      <x:c r="D466" s="26" t="n">
        <x:f>'500件商品'!F466</x:f>
        <x:v>46</x:v>
      </x:c>
      <x:c r="E466" s="24" t="str">
        <x:f>'500件商品'!K466</x:f>
        <x:v>否</x:v>
      </x:c>
      <x:c r="F466" s="24" t="str">
        <x:f>'500件商品'!L466</x:f>
      </x:c>
      <x:c r="G466" s="28" t="n">
        <x:f>'500件商品'!M466</x:f>
        <x:v>1</x:v>
      </x:c>
      <x:c r="H466" s="24" t="str">
        <x:f>'500件商品'!P466</x:f>
        <x:v>是</x:v>
      </x:c>
      <x:c r="I466" s="26" t="n">
        <x:f>'500件商品'!N466</x:f>
        <x:v>288</x:v>
      </x:c>
      <x:c r="J466" s="26" t="n">
        <x:f>'500件商品'!O466</x:f>
        <x:v>30</x:v>
      </x:c>
      <x:c r="K466" s="26" t="n">
        <x:f>IF(H466="是",CEILING(I466/J466,1),0)</x:f>
        <x:v>10</x:v>
      </x:c>
      <x:c r="L466" s="26" t="n">
        <x:f>ROUND(I466*G466,0)</x:f>
        <x:v>288</x:v>
      </x:c>
      <x:c r="M466" s="26" t="n">
        <x:f>IF(H466="是",CEILING(L466/J466,1),0)</x:f>
        <x:v>10</x:v>
      </x:c>
      <x:c r="N466" s="26" t="n">
        <x:f>M466-K466</x:f>
        <x:v>0</x:v>
      </x:c>
      <x:c r="O466" s="24" t="str">
        <x:f>'500件商品'!Q466</x:f>
        <x:v>K區</x:v>
      </x:c>
      <x:c r="P466" s="26" t="n">
        <x:f>'500件商品'!R466</x:f>
        <x:v>60</x:v>
      </x:c>
      <x:c r="Q466" s="24" t="str">
        <x:f>IF(H466="否","非棧板管理",IF(AND(E466="是",N466&gt;0),"季節彈性前移區",IF(OR(C466="Cluster 3",D466&gt;=55),"近端低層棧板區",IF(C466="Cluster 2","中段大貨位",IF(C466="Cluster 4","遠端彈性儲位","中段棧板區")))))</x:f>
        <x:v>中段大貨位</x:v>
      </x:c>
      <x:c r="R466" s="24" t="str">
        <x:f>IF(AND(H466="是",E466="是",N466&gt;0),"是","否")</x:f>
        <x:v>否</x:v>
      </x:c>
      <x:c r="S466" s="24" t="str">
        <x:f>IF(H466="否","非本次棧板儲位分析對象",IF(R466="是","旺季前需前移並增加棧板位",IF(N466&gt;0,"需增加棧板位",IF(N466&lt;0,"可釋放部分棧板位","維持現況"))))</x:f>
        <x:v>維持現況</x:v>
      </x:c>
    </x:row>
    <x:row r="467">
      <x:c r="A467" s="24" t="str">
        <x:f>'500件商品'!A467</x:f>
        <x:v>PX0463</x:v>
      </x:c>
      <x:c r="B467" s="24" t="str">
        <x:f>'500件商品'!B467</x:f>
        <x:v>咖啡罐裝整箱-小包裝</x:v>
      </x:c>
      <x:c r="C467" s="24" t="str">
        <x:f>'500件商品'!D467</x:f>
        <x:v>Cluster 1</x:v>
      </x:c>
      <x:c r="D467" s="26" t="n">
        <x:f>'500件商品'!F467</x:f>
        <x:v>36</x:v>
      </x:c>
      <x:c r="E467" s="24" t="str">
        <x:f>'500件商品'!K467</x:f>
        <x:v>否</x:v>
      </x:c>
      <x:c r="F467" s="24" t="str">
        <x:f>'500件商品'!L467</x:f>
      </x:c>
      <x:c r="G467" s="28" t="n">
        <x:f>'500件商品'!M467</x:f>
        <x:v>1.1</x:v>
      </x:c>
      <x:c r="H467" s="24" t="str">
        <x:f>'500件商品'!P467</x:f>
        <x:v>是</x:v>
      </x:c>
      <x:c r="I467" s="26" t="n">
        <x:f>'500件商品'!N467</x:f>
        <x:v>315</x:v>
      </x:c>
      <x:c r="J467" s="26" t="n">
        <x:f>'500件商品'!O467</x:f>
        <x:v>60</x:v>
      </x:c>
      <x:c r="K467" s="26" t="n">
        <x:f>IF(H467="是",CEILING(I467/J467,1),0)</x:f>
        <x:v>6</x:v>
      </x:c>
      <x:c r="L467" s="26" t="n">
        <x:f>ROUND(I467*G467,0)</x:f>
        <x:v>347</x:v>
      </x:c>
      <x:c r="M467" s="26" t="n">
        <x:f>IF(H467="是",CEILING(L467/J467,1),0)</x:f>
        <x:v>6</x:v>
      </x:c>
      <x:c r="N467" s="26" t="n">
        <x:f>M467-K467</x:f>
        <x:v>0</x:v>
      </x:c>
      <x:c r="O467" s="24" t="str">
        <x:f>'500件商品'!Q467</x:f>
        <x:v>K區</x:v>
      </x:c>
      <x:c r="P467" s="26" t="n">
        <x:f>'500件商品'!R467</x:f>
        <x:v>40</x:v>
      </x:c>
      <x:c r="Q467" s="24" t="str">
        <x:f>IF(H467="否","非棧板管理",IF(AND(E467="是",N467&gt;0),"季節彈性前移區",IF(OR(C467="Cluster 3",D467&gt;=55),"近端低層棧板區",IF(C467="Cluster 2","中段大貨位",IF(C467="Cluster 4","遠端彈性儲位","中段棧板區")))))</x:f>
        <x:v>中段棧板區</x:v>
      </x:c>
      <x:c r="R467" s="24" t="str">
        <x:f>IF(AND(H467="是",E467="是",N467&gt;0),"是","否")</x:f>
        <x:v>否</x:v>
      </x:c>
      <x:c r="S467" s="24" t="str">
        <x:f>IF(H467="否","非本次棧板儲位分析對象",IF(R467="是","旺季前需前移並增加棧板位",IF(N467&gt;0,"需增加棧板位",IF(N467&lt;0,"可釋放部分棧板位","維持現況"))))</x:f>
        <x:v>維持現況</x:v>
      </x:c>
    </x:row>
    <x:row r="468">
      <x:c r="A468" s="24" t="str">
        <x:f>'500件商品'!A468</x:f>
        <x:v>PX0464</x:v>
      </x:c>
      <x:c r="B468" s="24" t="str">
        <x:f>'500件商品'!B468</x:f>
        <x:v>保鮮膜-促銷組</x:v>
      </x:c>
      <x:c r="C468" s="24" t="str">
        <x:f>'500件商品'!D468</x:f>
        <x:v>Cluster 5</x:v>
      </x:c>
      <x:c r="D468" s="26" t="n">
        <x:f>'500件商品'!F468</x:f>
        <x:v>59</x:v>
      </x:c>
      <x:c r="E468" s="24" t="str">
        <x:f>'500件商品'!K468</x:f>
        <x:v>否</x:v>
      </x:c>
      <x:c r="F468" s="24" t="str">
        <x:f>'500件商品'!L468</x:f>
      </x:c>
      <x:c r="G468" s="28" t="n">
        <x:f>'500件商品'!M468</x:f>
        <x:v>1.1</x:v>
      </x:c>
      <x:c r="H468" s="24" t="str">
        <x:f>'500件商品'!P468</x:f>
        <x:v>是</x:v>
      </x:c>
      <x:c r="I468" s="26" t="n">
        <x:f>'500件商品'!N468</x:f>
        <x:v>427</x:v>
      </x:c>
      <x:c r="J468" s="26" t="n">
        <x:f>'500件商品'!O468</x:f>
        <x:v>72</x:v>
      </x:c>
      <x:c r="K468" s="26" t="n">
        <x:f>IF(H468="是",CEILING(I468/J468,1),0)</x:f>
        <x:v>6</x:v>
      </x:c>
      <x:c r="L468" s="26" t="n">
        <x:f>ROUND(I468*G468,0)</x:f>
        <x:v>470</x:v>
      </x:c>
      <x:c r="M468" s="26" t="n">
        <x:f>IF(H468="是",CEILING(L468/J468,1),0)</x:f>
        <x:v>7</x:v>
      </x:c>
      <x:c r="N468" s="26" t="n">
        <x:f>M468-K468</x:f>
        <x:v>1</x:v>
      </x:c>
      <x:c r="O468" s="24" t="str">
        <x:f>'500件商品'!Q468</x:f>
        <x:v>1區</x:v>
      </x:c>
      <x:c r="P468" s="26" t="n">
        <x:f>'500件商品'!R468</x:f>
        <x:v>34</x:v>
      </x:c>
      <x:c r="Q468" s="24" t="str">
        <x:f>IF(H468="否","非棧板管理",IF(AND(E468="是",N468&gt;0),"季節彈性前移區",IF(OR(C468="Cluster 3",D468&gt;=55),"近端低層棧板區",IF(C468="Cluster 2","中段大貨位",IF(C468="Cluster 4","遠端彈性儲位","中段棧板區")))))</x:f>
        <x:v>近端低層棧板區</x:v>
      </x:c>
      <x:c r="R468" s="24" t="str">
        <x:f>IF(AND(H468="是",E468="是",N468&gt;0),"是","否")</x:f>
        <x:v>否</x:v>
      </x:c>
      <x:c r="S468" s="24" t="str">
        <x:f>IF(H468="否","非本次棧板儲位分析對象",IF(R468="是","旺季前需前移並增加棧板位",IF(N468&gt;0,"需增加棧板位",IF(N468&lt;0,"可釋放部分棧板位","維持現況"))))</x:f>
        <x:v>需增加棧板位</x:v>
      </x:c>
    </x:row>
    <x:row r="469">
      <x:c r="A469" s="24" t="str">
        <x:f>'500件商品'!A469</x:f>
        <x:v>PX0465</x:v>
      </x:c>
      <x:c r="B469" s="24" t="str">
        <x:f>'500件商品'!B469</x:f>
        <x:v>乾電池組-家庭號</x:v>
      </x:c>
      <x:c r="C469" s="24" t="str">
        <x:f>'500件商品'!D469</x:f>
        <x:v>Cluster 5</x:v>
      </x:c>
      <x:c r="D469" s="26" t="n">
        <x:f>'500件商品'!F469</x:f>
        <x:v>31</x:v>
      </x:c>
      <x:c r="E469" s="24" t="str">
        <x:f>'500件商品'!K469</x:f>
        <x:v>否</x:v>
      </x:c>
      <x:c r="F469" s="24" t="str">
        <x:f>'500件商品'!L469</x:f>
      </x:c>
      <x:c r="G469" s="28" t="n">
        <x:f>'500件商品'!M469</x:f>
        <x:v>1</x:v>
      </x:c>
      <x:c r="H469" s="24" t="str">
        <x:f>'500件商品'!P469</x:f>
        <x:v>否</x:v>
      </x:c>
      <x:c r="I469" s="26" t="n">
        <x:f>'500件商品'!N469</x:f>
        <x:v>97</x:v>
      </x:c>
      <x:c r="J469" s="26" t="str">
        <x:f>'500件商品'!O469</x:f>
      </x:c>
      <x:c r="K469" s="26" t="n">
        <x:f>IF(H469="是",CEILING(I469/J469,1),0)</x:f>
        <x:v>0</x:v>
      </x:c>
      <x:c r="L469" s="26" t="n">
        <x:f>ROUND(I469*G469,0)</x:f>
        <x:v>97</x:v>
      </x:c>
      <x:c r="M469" s="26" t="n">
        <x:f>IF(H469="是",CEILING(L469/J469,1),0)</x:f>
        <x:v>0</x:v>
      </x:c>
      <x:c r="N469" s="26" t="n">
        <x:f>M469-K469</x:f>
        <x:v>0</x:v>
      </x:c>
      <x:c r="O469" s="24" t="str">
        <x:f>'500件商品'!Q469</x:f>
        <x:v>K區</x:v>
      </x:c>
      <x:c r="P469" s="26" t="n">
        <x:f>'500件商品'!R469</x:f>
        <x:v>38</x:v>
      </x:c>
      <x:c r="Q469" s="24" t="str">
        <x:f>IF(H469="否","非棧板管理",IF(AND(E469="是",N469&gt;0),"季節彈性前移區",IF(OR(C469="Cluster 3",D469&gt;=55),"近端低層棧板區",IF(C469="Cluster 2","中段大貨位",IF(C469="Cluster 4","遠端彈性儲位","中段棧板區")))))</x:f>
        <x:v>非棧板管理</x:v>
      </x:c>
      <x:c r="R469" s="24" t="str">
        <x:f>IF(AND(H469="是",E469="是",N469&gt;0),"是","否")</x:f>
        <x:v>否</x:v>
      </x:c>
      <x:c r="S469" s="24" t="str">
        <x:f>IF(H469="否","非本次棧板儲位分析對象",IF(R469="是","旺季前需前移並增加棧板位",IF(N469&gt;0,"需增加棧板位",IF(N469&lt;0,"可釋放部分棧板位","維持現況"))))</x:f>
        <x:v>非本次棧板儲位分析對象</x:v>
      </x:c>
    </x:row>
    <x:row r="470">
      <x:c r="A470" s="24" t="str">
        <x:f>'500件商品'!A470</x:f>
        <x:v>PX0466</x:v>
      </x:c>
      <x:c r="B470" s="24" t="str">
        <x:f>'500件商品'!B470</x:f>
        <x:v>衣架組-家庭號</x:v>
      </x:c>
      <x:c r="C470" s="24" t="str">
        <x:f>'500件商品'!D470</x:f>
        <x:v>Cluster 3</x:v>
      </x:c>
      <x:c r="D470" s="26" t="n">
        <x:f>'500件商品'!F470</x:f>
        <x:v>67</x:v>
      </x:c>
      <x:c r="E470" s="24" t="str">
        <x:f>'500件商品'!K470</x:f>
        <x:v>否</x:v>
      </x:c>
      <x:c r="F470" s="24" t="str">
        <x:f>'500件商品'!L470</x:f>
      </x:c>
      <x:c r="G470" s="28" t="n">
        <x:f>'500件商品'!M470</x:f>
        <x:v>1.1</x:v>
      </x:c>
      <x:c r="H470" s="24" t="str">
        <x:f>'500件商品'!P470</x:f>
        <x:v>是</x:v>
      </x:c>
      <x:c r="I470" s="26" t="n">
        <x:f>'500件商品'!N470</x:f>
        <x:v>456</x:v>
      </x:c>
      <x:c r="J470" s="26" t="n">
        <x:f>'500件商品'!O470</x:f>
        <x:v>20</x:v>
      </x:c>
      <x:c r="K470" s="26" t="n">
        <x:f>IF(H470="是",CEILING(I470/J470,1),0)</x:f>
        <x:v>23</x:v>
      </x:c>
      <x:c r="L470" s="26" t="n">
        <x:f>ROUND(I470*G470,0)</x:f>
        <x:v>502</x:v>
      </x:c>
      <x:c r="M470" s="26" t="n">
        <x:f>IF(H470="是",CEILING(L470/J470,1),0)</x:f>
        <x:v>26</x:v>
      </x:c>
      <x:c r="N470" s="26" t="n">
        <x:f>M470-K470</x:f>
        <x:v>3</x:v>
      </x:c>
      <x:c r="O470" s="24" t="str">
        <x:f>'500件商品'!Q470</x:f>
        <x:v>A區</x:v>
      </x:c>
      <x:c r="P470" s="26" t="n">
        <x:f>'500件商品'!R470</x:f>
        <x:v>27</x:v>
      </x:c>
      <x:c r="Q470" s="24" t="str">
        <x:f>IF(H470="否","非棧板管理",IF(AND(E470="是",N470&gt;0),"季節彈性前移區",IF(OR(C470="Cluster 3",D470&gt;=55),"近端低層棧板區",IF(C470="Cluster 2","中段大貨位",IF(C470="Cluster 4","遠端彈性儲位","中段棧板區")))))</x:f>
        <x:v>近端低層棧板區</x:v>
      </x:c>
      <x:c r="R470" s="24" t="str">
        <x:f>IF(AND(H470="是",E470="是",N470&gt;0),"是","否")</x:f>
        <x:v>否</x:v>
      </x:c>
      <x:c r="S470" s="24" t="str">
        <x:f>IF(H470="否","非本次棧板儲位分析對象",IF(R470="是","旺季前需前移並增加棧板位",IF(N470&gt;0,"需增加棧板位",IF(N470&lt;0,"可釋放部分棧板位","維持現況"))))</x:f>
        <x:v>需增加棧板位</x:v>
      </x:c>
    </x:row>
    <x:row r="471">
      <x:c r="A471" s="24" t="str">
        <x:f>'500件商品'!A471</x:f>
        <x:v>PX0467</x:v>
      </x:c>
      <x:c r="B471" s="24" t="str">
        <x:f>'500件商品'!B471</x:f>
        <x:v>端午禮盒-促銷組</x:v>
      </x:c>
      <x:c r="C471" s="24" t="str">
        <x:f>'500件商品'!D471</x:f>
        <x:v>Cluster 4</x:v>
      </x:c>
      <x:c r="D471" s="26" t="n">
        <x:f>'500件商品'!F471</x:f>
        <x:v>9</x:v>
      </x:c>
      <x:c r="E471" s="24" t="str">
        <x:f>'500件商品'!K471</x:f>
        <x:v>是</x:v>
      </x:c>
      <x:c r="F471" s="24" t="str">
        <x:f>'500件商品'!L471</x:f>
        <x:v>1-2月</x:v>
      </x:c>
      <x:c r="G471" s="28" t="n">
        <x:f>'500件商品'!M471</x:f>
        <x:v>1.8</x:v>
      </x:c>
      <x:c r="H471" s="24" t="str">
        <x:f>'500件商品'!P471</x:f>
        <x:v>是</x:v>
      </x:c>
      <x:c r="I471" s="26" t="n">
        <x:f>'500件商品'!N471</x:f>
        <x:v>104</x:v>
      </x:c>
      <x:c r="J471" s="26" t="n">
        <x:f>'500件商品'!O471</x:f>
        <x:v>24</x:v>
      </x:c>
      <x:c r="K471" s="26" t="n">
        <x:f>IF(H471="是",CEILING(I471/J471,1),0)</x:f>
        <x:v>5</x:v>
      </x:c>
      <x:c r="L471" s="26" t="n">
        <x:f>ROUND(I471*G471,0)</x:f>
        <x:v>187</x:v>
      </x:c>
      <x:c r="M471" s="26" t="n">
        <x:f>IF(H471="是",CEILING(L471/J471,1),0)</x:f>
        <x:v>8</x:v>
      </x:c>
      <x:c r="N471" s="26" t="n">
        <x:f>M471-K471</x:f>
        <x:v>3</x:v>
      </x:c>
      <x:c r="O471" s="24" t="str">
        <x:f>'500件商品'!Q471</x:f>
        <x:v>K區</x:v>
      </x:c>
      <x:c r="P471" s="26" t="n">
        <x:f>'500件商品'!R471</x:f>
        <x:v>50</x:v>
      </x:c>
      <x:c r="Q471" s="24" t="str">
        <x:f>IF(H471="否","非棧板管理",IF(AND(E471="是",N471&gt;0),"季節彈性前移區",IF(OR(C471="Cluster 3",D471&gt;=55),"近端低層棧板區",IF(C471="Cluster 2","中段大貨位",IF(C471="Cluster 4","遠端彈性儲位","中段棧板區")))))</x:f>
        <x:v>季節彈性前移區</x:v>
      </x:c>
      <x:c r="R471" s="24" t="str">
        <x:f>IF(AND(H471="是",E471="是",N471&gt;0),"是","否")</x:f>
        <x:v>是</x:v>
      </x:c>
      <x:c r="S471" s="24" t="str">
        <x:f>IF(H471="否","非本次棧板儲位分析對象",IF(R471="是","旺季前需前移並增加棧板位",IF(N471&gt;0,"需增加棧板位",IF(N471&lt;0,"可釋放部分棧板位","維持現況"))))</x:f>
        <x:v>旺季前需前移並增加棧板位</x:v>
      </x:c>
    </x:row>
    <x:row r="472">
      <x:c r="A472" s="24" t="str">
        <x:f>'500件商品'!A472</x:f>
        <x:v>PX0468</x:v>
      </x:c>
      <x:c r="B472" s="24" t="str">
        <x:f>'500件商品'!B472</x:f>
        <x:v>食用油-小包裝</x:v>
      </x:c>
      <x:c r="C472" s="24" t="str">
        <x:f>'500件商品'!D472</x:f>
        <x:v>Cluster 2</x:v>
      </x:c>
      <x:c r="D472" s="26" t="n">
        <x:f>'500件商品'!F472</x:f>
        <x:v>43</x:v>
      </x:c>
      <x:c r="E472" s="24" t="str">
        <x:f>'500件商品'!K472</x:f>
        <x:v>否</x:v>
      </x:c>
      <x:c r="F472" s="24" t="str">
        <x:f>'500件商品'!L472</x:f>
      </x:c>
      <x:c r="G472" s="28" t="n">
        <x:f>'500件商品'!M472</x:f>
        <x:v>1</x:v>
      </x:c>
      <x:c r="H472" s="24" t="str">
        <x:f>'500件商品'!P472</x:f>
        <x:v>是</x:v>
      </x:c>
      <x:c r="I472" s="26" t="n">
        <x:f>'500件商品'!N472</x:f>
        <x:v>301</x:v>
      </x:c>
      <x:c r="J472" s="26" t="n">
        <x:f>'500件商品'!O472</x:f>
        <x:v>40</x:v>
      </x:c>
      <x:c r="K472" s="26" t="n">
        <x:f>IF(H472="是",CEILING(I472/J472,1),0)</x:f>
        <x:v>8</x:v>
      </x:c>
      <x:c r="L472" s="26" t="n">
        <x:f>ROUND(I472*G472,0)</x:f>
        <x:v>301</x:v>
      </x:c>
      <x:c r="M472" s="26" t="n">
        <x:f>IF(H472="是",CEILING(L472/J472,1),0)</x:f>
        <x:v>8</x:v>
      </x:c>
      <x:c r="N472" s="26" t="n">
        <x:f>M472-K472</x:f>
        <x:v>0</x:v>
      </x:c>
      <x:c r="O472" s="24" t="str">
        <x:f>'500件商品'!Q472</x:f>
        <x:v>1區</x:v>
      </x:c>
      <x:c r="P472" s="26" t="n">
        <x:f>'500件商品'!R472</x:f>
        <x:v>24</x:v>
      </x:c>
      <x:c r="Q472" s="24" t="str">
        <x:f>IF(H472="否","非棧板管理",IF(AND(E472="是",N472&gt;0),"季節彈性前移區",IF(OR(C472="Cluster 3",D472&gt;=55),"近端低層棧板區",IF(C472="Cluster 2","中段大貨位",IF(C472="Cluster 4","遠端彈性儲位","中段棧板區")))))</x:f>
        <x:v>中段大貨位</x:v>
      </x:c>
      <x:c r="R472" s="24" t="str">
        <x:f>IF(AND(H472="是",E472="是",N472&gt;0),"是","否")</x:f>
        <x:v>否</x:v>
      </x:c>
      <x:c r="S472" s="24" t="str">
        <x:f>IF(H472="否","非本次棧板儲位分析對象",IF(R472="是","旺季前需前移並增加棧板位",IF(N472&gt;0,"需增加棧板位",IF(N472&lt;0,"可釋放部分棧板位","維持現況"))))</x:f>
        <x:v>維持現況</x:v>
      </x:c>
    </x:row>
    <x:row r="473">
      <x:c r="A473" s="24" t="str">
        <x:f>'500件商品'!A473</x:f>
        <x:v>PX0469</x:v>
      </x:c>
      <x:c r="B473" s="24" t="str">
        <x:f>'500件商品'!B473</x:f>
        <x:v>玻璃保鮮盒-家庭號</x:v>
      </x:c>
      <x:c r="C473" s="24" t="str">
        <x:f>'500件商品'!D473</x:f>
        <x:v>Cluster 1</x:v>
      </x:c>
      <x:c r="D473" s="26" t="n">
        <x:f>'500件商品'!F473</x:f>
        <x:v>35</x:v>
      </x:c>
      <x:c r="E473" s="24" t="str">
        <x:f>'500件商品'!K473</x:f>
        <x:v>否</x:v>
      </x:c>
      <x:c r="F473" s="24" t="str">
        <x:f>'500件商品'!L473</x:f>
      </x:c>
      <x:c r="G473" s="28" t="n">
        <x:f>'500件商品'!M473</x:f>
        <x:v>1.1</x:v>
      </x:c>
      <x:c r="H473" s="24" t="str">
        <x:f>'500件商品'!P473</x:f>
        <x:v>是</x:v>
      </x:c>
      <x:c r="I473" s="26" t="n">
        <x:f>'500件商品'!N473</x:f>
        <x:v>202</x:v>
      </x:c>
      <x:c r="J473" s="26" t="n">
        <x:f>'500件商品'!O473</x:f>
        <x:v>48</x:v>
      </x:c>
      <x:c r="K473" s="26" t="n">
        <x:f>IF(H473="是",CEILING(I473/J473,1),0)</x:f>
        <x:v>5</x:v>
      </x:c>
      <x:c r="L473" s="26" t="n">
        <x:f>ROUND(I473*G473,0)</x:f>
        <x:v>222</x:v>
      </x:c>
      <x:c r="M473" s="26" t="n">
        <x:f>IF(H473="是",CEILING(L473/J473,1),0)</x:f>
        <x:v>5</x:v>
      </x:c>
      <x:c r="N473" s="26" t="n">
        <x:f>M473-K473</x:f>
        <x:v>0</x:v>
      </x:c>
      <x:c r="O473" s="24" t="str">
        <x:f>'500件商品'!Q473</x:f>
        <x:v>1區</x:v>
      </x:c>
      <x:c r="P473" s="26" t="n">
        <x:f>'500件商品'!R473</x:f>
        <x:v>33</x:v>
      </x:c>
      <x:c r="Q473" s="24" t="str">
        <x:f>IF(H473="否","非棧板管理",IF(AND(E473="是",N473&gt;0),"季節彈性前移區",IF(OR(C473="Cluster 3",D473&gt;=55),"近端低層棧板區",IF(C473="Cluster 2","中段大貨位",IF(C473="Cluster 4","遠端彈性儲位","中段棧板區")))))</x:f>
        <x:v>中段棧板區</x:v>
      </x:c>
      <x:c r="R473" s="24" t="str">
        <x:f>IF(AND(H473="是",E473="是",N473&gt;0),"是","否")</x:f>
        <x:v>否</x:v>
      </x:c>
      <x:c r="S473" s="24" t="str">
        <x:f>IF(H473="否","非本次棧板儲位分析對象",IF(R473="是","旺季前需前移並增加棧板位",IF(N473&gt;0,"需增加棧板位",IF(N473&lt;0,"可釋放部分棧板位","維持現況"))))</x:f>
        <x:v>維持現況</x:v>
      </x:c>
    </x:row>
    <x:row r="474">
      <x:c r="A474" s="24" t="str">
        <x:f>'500件商品'!A474</x:f>
        <x:v>PX0470</x:v>
      </x:c>
      <x:c r="B474" s="24" t="str">
        <x:f>'500件商品'!B474</x:f>
        <x:v>浴廁清潔劑-箱裝</x:v>
      </x:c>
      <x:c r="C474" s="24" t="str">
        <x:f>'500件商品'!D474</x:f>
        <x:v>Cluster 1</x:v>
      </x:c>
      <x:c r="D474" s="26" t="n">
        <x:f>'500件商品'!F474</x:f>
        <x:v>6</x:v>
      </x:c>
      <x:c r="E474" s="24" t="str">
        <x:f>'500件商品'!K474</x:f>
        <x:v>否</x:v>
      </x:c>
      <x:c r="F474" s="24" t="str">
        <x:f>'500件商品'!L474</x:f>
      </x:c>
      <x:c r="G474" s="28" t="n">
        <x:f>'500件商品'!M474</x:f>
        <x:v>1.1</x:v>
      </x:c>
      <x:c r="H474" s="24" t="str">
        <x:f>'500件商品'!P474</x:f>
        <x:v>是</x:v>
      </x:c>
      <x:c r="I474" s="26" t="n">
        <x:f>'500件商品'!N474</x:f>
        <x:v>19</x:v>
      </x:c>
      <x:c r="J474" s="26" t="n">
        <x:f>'500件商品'!O474</x:f>
        <x:v>72</x:v>
      </x:c>
      <x:c r="K474" s="26" t="n">
        <x:f>IF(H474="是",CEILING(I474/J474,1),0)</x:f>
        <x:v>1</x:v>
      </x:c>
      <x:c r="L474" s="26" t="n">
        <x:f>ROUND(I474*G474,0)</x:f>
        <x:v>21</x:v>
      </x:c>
      <x:c r="M474" s="26" t="n">
        <x:f>IF(H474="是",CEILING(L474/J474,1),0)</x:f>
        <x:v>1</x:v>
      </x:c>
      <x:c r="N474" s="26" t="n">
        <x:f>M474-K474</x:f>
        <x:v>0</x:v>
      </x:c>
      <x:c r="O474" s="24" t="str">
        <x:f>'500件商品'!Q474</x:f>
        <x:v>遠端區</x:v>
      </x:c>
      <x:c r="P474" s="26" t="n">
        <x:f>'500件商品'!R474</x:f>
        <x:v>73</x:v>
      </x:c>
      <x:c r="Q474" s="24" t="str">
        <x:f>IF(H474="否","非棧板管理",IF(AND(E474="是",N474&gt;0),"季節彈性前移區",IF(OR(C474="Cluster 3",D474&gt;=55),"近端低層棧板區",IF(C474="Cluster 2","中段大貨位",IF(C474="Cluster 4","遠端彈性儲位","中段棧板區")))))</x:f>
        <x:v>中段棧板區</x:v>
      </x:c>
      <x:c r="R474" s="24" t="str">
        <x:f>IF(AND(H474="是",E474="是",N474&gt;0),"是","否")</x:f>
        <x:v>否</x:v>
      </x:c>
      <x:c r="S474" s="24" t="str">
        <x:f>IF(H474="否","非本次棧板儲位分析對象",IF(R474="是","旺季前需前移並增加棧板位",IF(N474&gt;0,"需增加棧板位",IF(N474&lt;0,"可釋放部分棧板位","維持現況"))))</x:f>
        <x:v>維持現況</x:v>
      </x:c>
    </x:row>
    <x:row r="475">
      <x:c r="A475" s="24" t="str">
        <x:f>'500件商品'!A475</x:f>
        <x:v>PX0471</x:v>
      </x:c>
      <x:c r="B475" s="24" t="str">
        <x:f>'500件商品'!B475</x:f>
        <x:v>家庭號礦泉水-小包裝</x:v>
      </x:c>
      <x:c r="C475" s="24" t="str">
        <x:f>'500件商品'!D475</x:f>
        <x:v>Cluster 1</x:v>
      </x:c>
      <x:c r="D475" s="26" t="n">
        <x:f>'500件商品'!F475</x:f>
        <x:v>23</x:v>
      </x:c>
      <x:c r="E475" s="24" t="str">
        <x:f>'500件商品'!K475</x:f>
        <x:v>否</x:v>
      </x:c>
      <x:c r="F475" s="24" t="str">
        <x:f>'500件商品'!L475</x:f>
      </x:c>
      <x:c r="G475" s="28" t="n">
        <x:f>'500件商品'!M475</x:f>
        <x:v>1.3</x:v>
      </x:c>
      <x:c r="H475" s="24" t="str">
        <x:f>'500件商品'!P475</x:f>
        <x:v>是</x:v>
      </x:c>
      <x:c r="I475" s="26" t="n">
        <x:f>'500件商品'!N475</x:f>
        <x:v>155</x:v>
      </x:c>
      <x:c r="J475" s="26" t="n">
        <x:f>'500件商品'!O475</x:f>
        <x:v>40</x:v>
      </x:c>
      <x:c r="K475" s="26" t="n">
        <x:f>IF(H475="是",CEILING(I475/J475,1),0)</x:f>
        <x:v>4</x:v>
      </x:c>
      <x:c r="L475" s="26" t="n">
        <x:f>ROUND(I475*G475,0)</x:f>
        <x:v>202</x:v>
      </x:c>
      <x:c r="M475" s="26" t="n">
        <x:f>IF(H475="是",CEILING(L475/J475,1),0)</x:f>
        <x:v>6</x:v>
      </x:c>
      <x:c r="N475" s="26" t="n">
        <x:f>M475-K475</x:f>
        <x:v>2</x:v>
      </x:c>
      <x:c r="O475" s="24" t="str">
        <x:f>'500件商品'!Q475</x:f>
        <x:v>A區</x:v>
      </x:c>
      <x:c r="P475" s="26" t="n">
        <x:f>'500件商品'!R475</x:f>
        <x:v>34</x:v>
      </x:c>
      <x:c r="Q475" s="24" t="str">
        <x:f>IF(H475="否","非棧板管理",IF(AND(E475="是",N475&gt;0),"季節彈性前移區",IF(OR(C475="Cluster 3",D475&gt;=55),"近端低層棧板區",IF(C475="Cluster 2","中段大貨位",IF(C475="Cluster 4","遠端彈性儲位","中段棧板區")))))</x:f>
        <x:v>中段棧板區</x:v>
      </x:c>
      <x:c r="R475" s="24" t="str">
        <x:f>IF(AND(H475="是",E475="是",N475&gt;0),"是","否")</x:f>
        <x:v>否</x:v>
      </x:c>
      <x:c r="S475" s="24" t="str">
        <x:f>IF(H475="否","非本次棧板儲位分析對象",IF(R475="是","旺季前需前移並增加棧板位",IF(N475&gt;0,"需增加棧板位",IF(N475&lt;0,"可釋放部分棧板位","維持現況"))))</x:f>
        <x:v>需增加棧板位</x:v>
      </x:c>
    </x:row>
    <x:row r="476">
      <x:c r="A476" s="24" t="str">
        <x:f>'500件商品'!A476</x:f>
        <x:v>PX0472</x:v>
      </x:c>
      <x:c r="B476" s="24" t="str">
        <x:f>'500件商品'!B476</x:f>
        <x:v>咖啡罐裝整箱-小包裝</x:v>
      </x:c>
      <x:c r="C476" s="24" t="str">
        <x:f>'500件商品'!D476</x:f>
        <x:v>Cluster 1</x:v>
      </x:c>
      <x:c r="D476" s="26" t="n">
        <x:f>'500件商品'!F476</x:f>
        <x:v>49</x:v>
      </x:c>
      <x:c r="E476" s="24" t="str">
        <x:f>'500件商品'!K476</x:f>
        <x:v>否</x:v>
      </x:c>
      <x:c r="F476" s="24" t="str">
        <x:f>'500件商品'!L476</x:f>
      </x:c>
      <x:c r="G476" s="28" t="n">
        <x:f>'500件商品'!M476</x:f>
        <x:v>1</x:v>
      </x:c>
      <x:c r="H476" s="24" t="str">
        <x:f>'500件商品'!P476</x:f>
        <x:v>是</x:v>
      </x:c>
      <x:c r="I476" s="26" t="n">
        <x:f>'500件商品'!N476</x:f>
        <x:v>156</x:v>
      </x:c>
      <x:c r="J476" s="26" t="n">
        <x:f>'500件商品'!O476</x:f>
        <x:v>48</x:v>
      </x:c>
      <x:c r="K476" s="26" t="n">
        <x:f>IF(H476="是",CEILING(I476/J476,1),0)</x:f>
        <x:v>4</x:v>
      </x:c>
      <x:c r="L476" s="26" t="n">
        <x:f>ROUND(I476*G476,0)</x:f>
        <x:v>156</x:v>
      </x:c>
      <x:c r="M476" s="26" t="n">
        <x:f>IF(H476="是",CEILING(L476/J476,1),0)</x:f>
        <x:v>4</x:v>
      </x:c>
      <x:c r="N476" s="26" t="n">
        <x:f>M476-K476</x:f>
        <x:v>0</x:v>
      </x:c>
      <x:c r="O476" s="24" t="str">
        <x:f>'500件商品'!Q476</x:f>
        <x:v>K區</x:v>
      </x:c>
      <x:c r="P476" s="26" t="n">
        <x:f>'500件商品'!R476</x:f>
        <x:v>56</x:v>
      </x:c>
      <x:c r="Q476" s="24" t="str">
        <x:f>IF(H476="否","非棧板管理",IF(AND(E476="是",N476&gt;0),"季節彈性前移區",IF(OR(C476="Cluster 3",D476&gt;=55),"近端低層棧板區",IF(C476="Cluster 2","中段大貨位",IF(C476="Cluster 4","遠端彈性儲位","中段棧板區")))))</x:f>
        <x:v>中段棧板區</x:v>
      </x:c>
      <x:c r="R476" s="24" t="str">
        <x:f>IF(AND(H476="是",E476="是",N476&gt;0),"是","否")</x:f>
        <x:v>否</x:v>
      </x:c>
      <x:c r="S476" s="24" t="str">
        <x:f>IF(H476="否","非本次棧板儲位分析對象",IF(R476="是","旺季前需前移並增加棧板位",IF(N476&gt;0,"需增加棧板位",IF(N476&lt;0,"可釋放部分棧板位","維持現況"))))</x:f>
        <x:v>維持現況</x:v>
      </x:c>
    </x:row>
    <x:row r="477">
      <x:c r="A477" s="24" t="str">
        <x:f>'500件商品'!A477</x:f>
        <x:v>PX0473</x:v>
      </x:c>
      <x:c r="B477" s="24" t="str">
        <x:f>'500件商品'!B477</x:f>
        <x:v>年節禮盒組-補充包</x:v>
      </x:c>
      <x:c r="C477" s="24" t="str">
        <x:f>'500件商品'!D477</x:f>
        <x:v>Cluster 4</x:v>
      </x:c>
      <x:c r="D477" s="26" t="n">
        <x:f>'500件商品'!F477</x:f>
        <x:v>13</x:v>
      </x:c>
      <x:c r="E477" s="24" t="str">
        <x:f>'500件商品'!K477</x:f>
        <x:v>是</x:v>
      </x:c>
      <x:c r="F477" s="24" t="str">
        <x:f>'500件商品'!L477</x:f>
        <x:v>1-2月</x:v>
      </x:c>
      <x:c r="G477" s="28" t="n">
        <x:f>'500件商品'!M477</x:f>
        <x:v>3</x:v>
      </x:c>
      <x:c r="H477" s="24" t="str">
        <x:f>'500件商品'!P477</x:f>
        <x:v>是</x:v>
      </x:c>
      <x:c r="I477" s="26" t="n">
        <x:f>'500件商品'!N477</x:f>
        <x:v>133</x:v>
      </x:c>
      <x:c r="J477" s="26" t="n">
        <x:f>'500件商品'!O477</x:f>
        <x:v>18</x:v>
      </x:c>
      <x:c r="K477" s="26" t="n">
        <x:f>IF(H477="是",CEILING(I477/J477,1),0)</x:f>
        <x:v>8</x:v>
      </x:c>
      <x:c r="L477" s="26" t="n">
        <x:f>ROUND(I477*G477,0)</x:f>
        <x:v>399</x:v>
      </x:c>
      <x:c r="M477" s="26" t="n">
        <x:f>IF(H477="是",CEILING(L477/J477,1),0)</x:f>
        <x:v>23</x:v>
      </x:c>
      <x:c r="N477" s="26" t="n">
        <x:f>M477-K477</x:f>
        <x:v>15</x:v>
      </x:c>
      <x:c r="O477" s="24" t="str">
        <x:f>'500件商品'!Q477</x:f>
        <x:v>彈性區</x:v>
      </x:c>
      <x:c r="P477" s="26" t="n">
        <x:f>'500件商品'!R477</x:f>
        <x:v>63</x:v>
      </x:c>
      <x:c r="Q477" s="24" t="str">
        <x:f>IF(H477="否","非棧板管理",IF(AND(E477="是",N477&gt;0),"季節彈性前移區",IF(OR(C477="Cluster 3",D477&gt;=55),"近端低層棧板區",IF(C477="Cluster 2","中段大貨位",IF(C477="Cluster 4","遠端彈性儲位","中段棧板區")))))</x:f>
        <x:v>季節彈性前移區</x:v>
      </x:c>
      <x:c r="R477" s="24" t="str">
        <x:f>IF(AND(H477="是",E477="是",N477&gt;0),"是","否")</x:f>
        <x:v>是</x:v>
      </x:c>
      <x:c r="S477" s="24" t="str">
        <x:f>IF(H477="否","非本次棧板儲位分析對象",IF(R477="是","旺季前需前移並增加棧板位",IF(N477&gt;0,"需增加棧板位",IF(N477&lt;0,"可釋放部分棧板位","維持現況"))))</x:f>
        <x:v>旺季前需前移並增加棧板位</x:v>
      </x:c>
    </x:row>
    <x:row r="478">
      <x:c r="A478" s="24" t="str">
        <x:f>'500件商品'!A478</x:f>
        <x:v>PX0474</x:v>
      </x:c>
      <x:c r="B478" s="24" t="str">
        <x:f>'500件商品'!B478</x:f>
        <x:v>泡麵箱-小包裝</x:v>
      </x:c>
      <x:c r="C478" s="24" t="str">
        <x:f>'500件商品'!D478</x:f>
        <x:v>Cluster 5</x:v>
      </x:c>
      <x:c r="D478" s="26" t="n">
        <x:f>'500件商品'!F478</x:f>
        <x:v>24</x:v>
      </x:c>
      <x:c r="E478" s="24" t="str">
        <x:f>'500件商品'!K478</x:f>
        <x:v>否</x:v>
      </x:c>
      <x:c r="F478" s="24" t="str">
        <x:f>'500件商品'!L478</x:f>
      </x:c>
      <x:c r="G478" s="28" t="n">
        <x:f>'500件商品'!M478</x:f>
        <x:v>1</x:v>
      </x:c>
      <x:c r="H478" s="24" t="str">
        <x:f>'500件商品'!P478</x:f>
        <x:v>否</x:v>
      </x:c>
      <x:c r="I478" s="26" t="n">
        <x:f>'500件商品'!N478</x:f>
        <x:v>123</x:v>
      </x:c>
      <x:c r="J478" s="26" t="str">
        <x:f>'500件商品'!O478</x:f>
      </x:c>
      <x:c r="K478" s="26" t="n">
        <x:f>IF(H478="是",CEILING(I478/J478,1),0)</x:f>
        <x:v>0</x:v>
      </x:c>
      <x:c r="L478" s="26" t="n">
        <x:f>ROUND(I478*G478,0)</x:f>
        <x:v>123</x:v>
      </x:c>
      <x:c r="M478" s="26" t="n">
        <x:f>IF(H478="是",CEILING(L478/J478,1),0)</x:f>
        <x:v>0</x:v>
      </x:c>
      <x:c r="N478" s="26" t="n">
        <x:f>M478-K478</x:f>
        <x:v>0</x:v>
      </x:c>
      <x:c r="O478" s="24" t="str">
        <x:f>'500件商品'!Q478</x:f>
        <x:v>1區</x:v>
      </x:c>
      <x:c r="P478" s="26" t="n">
        <x:f>'500件商品'!R478</x:f>
        <x:v>22</x:v>
      </x:c>
      <x:c r="Q478" s="24" t="str">
        <x:f>IF(H478="否","非棧板管理",IF(AND(E478="是",N478&gt;0),"季節彈性前移區",IF(OR(C478="Cluster 3",D478&gt;=55),"近端低層棧板區",IF(C478="Cluster 2","中段大貨位",IF(C478="Cluster 4","遠端彈性儲位","中段棧板區")))))</x:f>
        <x:v>非棧板管理</x:v>
      </x:c>
      <x:c r="R478" s="24" t="str">
        <x:f>IF(AND(H478="是",E478="是",N478&gt;0),"是","否")</x:f>
        <x:v>否</x:v>
      </x:c>
      <x:c r="S478" s="24" t="str">
        <x:f>IF(H478="否","非本次棧板儲位分析對象",IF(R478="是","旺季前需前移並增加棧板位",IF(N478&gt;0,"需增加棧板位",IF(N478&lt;0,"可釋放部分棧板位","維持現況"))))</x:f>
        <x:v>非本次棧板儲位分析對象</x:v>
      </x:c>
    </x:row>
    <x:row r="479">
      <x:c r="A479" s="24" t="str">
        <x:f>'500件商品'!A479</x:f>
        <x:v>PX0475</x:v>
      </x:c>
      <x:c r="B479" s="24" t="str">
        <x:f>'500件商品'!B479</x:f>
        <x:v>垃圾袋-補充包</x:v>
      </x:c>
      <x:c r="C479" s="24" t="str">
        <x:f>'500件商品'!D479</x:f>
        <x:v>Cluster 4</x:v>
      </x:c>
      <x:c r="D479" s="26" t="n">
        <x:f>'500件商品'!F479</x:f>
        <x:v>15</x:v>
      </x:c>
      <x:c r="E479" s="24" t="str">
        <x:f>'500件商品'!K479</x:f>
        <x:v>是</x:v>
      </x:c>
      <x:c r="F479" s="24" t="str">
        <x:f>'500件商品'!L479</x:f>
        <x:v>旺季</x:v>
      </x:c>
      <x:c r="G479" s="28" t="n">
        <x:f>'500件商品'!M479</x:f>
        <x:v>2</x:v>
      </x:c>
      <x:c r="H479" s="24" t="str">
        <x:f>'500件商品'!P479</x:f>
        <x:v>否</x:v>
      </x:c>
      <x:c r="I479" s="26" t="n">
        <x:f>'500件商品'!N479</x:f>
        <x:v>109</x:v>
      </x:c>
      <x:c r="J479" s="26" t="str">
        <x:f>'500件商品'!O479</x:f>
      </x:c>
      <x:c r="K479" s="26" t="n">
        <x:f>IF(H479="是",CEILING(I479/J479,1),0)</x:f>
        <x:v>0</x:v>
      </x:c>
      <x:c r="L479" s="26" t="n">
        <x:f>ROUND(I479*G479,0)</x:f>
        <x:v>218</x:v>
      </x:c>
      <x:c r="M479" s="26" t="n">
        <x:f>IF(H479="是",CEILING(L479/J479,1),0)</x:f>
        <x:v>0</x:v>
      </x:c>
      <x:c r="N479" s="26" t="n">
        <x:f>M479-K479</x:f>
        <x:v>0</x:v>
      </x:c>
      <x:c r="O479" s="24" t="str">
        <x:f>'500件商品'!Q479</x:f>
        <x:v>1區</x:v>
      </x:c>
      <x:c r="P479" s="26" t="n">
        <x:f>'500件商品'!R479</x:f>
        <x:v>42</x:v>
      </x:c>
      <x:c r="Q479" s="24" t="str">
        <x:f>IF(H479="否","非棧板管理",IF(AND(E479="是",N479&gt;0),"季節彈性前移區",IF(OR(C479="Cluster 3",D479&gt;=55),"近端低層棧板區",IF(C479="Cluster 2","中段大貨位",IF(C479="Cluster 4","遠端彈性儲位","中段棧板區")))))</x:f>
        <x:v>非棧板管理</x:v>
      </x:c>
      <x:c r="R479" s="24" t="str">
        <x:f>IF(AND(H479="是",E479="是",N479&gt;0),"是","否")</x:f>
        <x:v>否</x:v>
      </x:c>
      <x:c r="S479" s="24" t="str">
        <x:f>IF(H479="否","非本次棧板儲位分析對象",IF(R479="是","旺季前需前移並增加棧板位",IF(N479&gt;0,"需增加棧板位",IF(N479&lt;0,"可釋放部分棧板位","維持現況"))))</x:f>
        <x:v>非本次棧板儲位分析對象</x:v>
      </x:c>
    </x:row>
    <x:row r="480">
      <x:c r="A480" s="24" t="str">
        <x:f>'500件商品'!A480</x:f>
        <x:v>PX0476</x:v>
      </x:c>
      <x:c r="B480" s="24" t="str">
        <x:f>'500件商品'!B480</x:f>
        <x:v>廚房紙巾-標準箱</x:v>
      </x:c>
      <x:c r="C480" s="24" t="str">
        <x:f>'500件商品'!D480</x:f>
        <x:v>Cluster 2</x:v>
      </x:c>
      <x:c r="D480" s="26" t="n">
        <x:f>'500件商品'!F480</x:f>
        <x:v>38</x:v>
      </x:c>
      <x:c r="E480" s="24" t="str">
        <x:f>'500件商品'!K480</x:f>
        <x:v>否</x:v>
      </x:c>
      <x:c r="F480" s="24" t="str">
        <x:f>'500件商品'!L480</x:f>
      </x:c>
      <x:c r="G480" s="28" t="n">
        <x:f>'500件商品'!M480</x:f>
        <x:v>1.1</x:v>
      </x:c>
      <x:c r="H480" s="24" t="str">
        <x:f>'500件商品'!P480</x:f>
        <x:v>是</x:v>
      </x:c>
      <x:c r="I480" s="26" t="n">
        <x:f>'500件商品'!N480</x:f>
        <x:v>248</x:v>
      </x:c>
      <x:c r="J480" s="26" t="n">
        <x:f>'500件商品'!O480</x:f>
        <x:v>20</x:v>
      </x:c>
      <x:c r="K480" s="26" t="n">
        <x:f>IF(H480="是",CEILING(I480/J480,1),0)</x:f>
        <x:v>13</x:v>
      </x:c>
      <x:c r="L480" s="26" t="n">
        <x:f>ROUND(I480*G480,0)</x:f>
        <x:v>273</x:v>
      </x:c>
      <x:c r="M480" s="26" t="n">
        <x:f>IF(H480="是",CEILING(L480/J480,1),0)</x:f>
        <x:v>14</x:v>
      </x:c>
      <x:c r="N480" s="26" t="n">
        <x:f>M480-K480</x:f>
        <x:v>1</x:v>
      </x:c>
      <x:c r="O480" s="24" t="str">
        <x:f>'500件商品'!Q480</x:f>
        <x:v>1區</x:v>
      </x:c>
      <x:c r="P480" s="26" t="n">
        <x:f>'500件商品'!R480</x:f>
        <x:v>43</x:v>
      </x:c>
      <x:c r="Q480" s="24" t="str">
        <x:f>IF(H480="否","非棧板管理",IF(AND(E480="是",N480&gt;0),"季節彈性前移區",IF(OR(C480="Cluster 3",D480&gt;=55),"近端低層棧板區",IF(C480="Cluster 2","中段大貨位",IF(C480="Cluster 4","遠端彈性儲位","中段棧板區")))))</x:f>
        <x:v>中段大貨位</x:v>
      </x:c>
      <x:c r="R480" s="24" t="str">
        <x:f>IF(AND(H480="是",E480="是",N480&gt;0),"是","否")</x:f>
        <x:v>否</x:v>
      </x:c>
      <x:c r="S480" s="24" t="str">
        <x:f>IF(H480="否","非本次棧板儲位分析對象",IF(R480="是","旺季前需前移並增加棧板位",IF(N480&gt;0,"需增加棧板位",IF(N480&lt;0,"可釋放部分棧板位","維持現況"))))</x:f>
        <x:v>需增加棧板位</x:v>
      </x:c>
    </x:row>
    <x:row r="481">
      <x:c r="A481" s="24" t="str">
        <x:f>'500件商品'!A481</x:f>
        <x:v>PX0477</x:v>
      </x:c>
      <x:c r="B481" s="24" t="str">
        <x:f>'500件商品'!B481</x:f>
        <x:v>季節禮盒-小包裝</x:v>
      </x:c>
      <x:c r="C481" s="24" t="str">
        <x:f>'500件商品'!D481</x:f>
        <x:v>Cluster 4</x:v>
      </x:c>
      <x:c r="D481" s="26" t="n">
        <x:f>'500件商品'!F481</x:f>
        <x:v>9</x:v>
      </x:c>
      <x:c r="E481" s="24" t="str">
        <x:f>'500件商品'!K481</x:f>
        <x:v>是</x:v>
      </x:c>
      <x:c r="F481" s="24" t="str">
        <x:f>'500件商品'!L481</x:f>
        <x:v>1-2月</x:v>
      </x:c>
      <x:c r="G481" s="28" t="n">
        <x:f>'500件商品'!M481</x:f>
        <x:v>3</x:v>
      </x:c>
      <x:c r="H481" s="24" t="str">
        <x:f>'500件商品'!P481</x:f>
        <x:v>是</x:v>
      </x:c>
      <x:c r="I481" s="26" t="n">
        <x:f>'500件商品'!N481</x:f>
        <x:v>39</x:v>
      </x:c>
      <x:c r="J481" s="26" t="n">
        <x:f>'500件商品'!O481</x:f>
        <x:v>20</x:v>
      </x:c>
      <x:c r="K481" s="26" t="n">
        <x:f>IF(H481="是",CEILING(I481/J481,1),0)</x:f>
        <x:v>2</x:v>
      </x:c>
      <x:c r="L481" s="26" t="n">
        <x:f>ROUND(I481*G481,0)</x:f>
        <x:v>117</x:v>
      </x:c>
      <x:c r="M481" s="26" t="n">
        <x:f>IF(H481="是",CEILING(L481/J481,1),0)</x:f>
        <x:v>6</x:v>
      </x:c>
      <x:c r="N481" s="26" t="n">
        <x:f>M481-K481</x:f>
        <x:v>4</x:v>
      </x:c>
      <x:c r="O481" s="24" t="str">
        <x:f>'500件商品'!Q481</x:f>
        <x:v>K區</x:v>
      </x:c>
      <x:c r="P481" s="26" t="n">
        <x:f>'500件商品'!R481</x:f>
        <x:v>53</x:v>
      </x:c>
      <x:c r="Q481" s="24" t="str">
        <x:f>IF(H481="否","非棧板管理",IF(AND(E481="是",N481&gt;0),"季節彈性前移區",IF(OR(C481="Cluster 3",D481&gt;=55),"近端低層棧板區",IF(C481="Cluster 2","中段大貨位",IF(C481="Cluster 4","遠端彈性儲位","中段棧板區")))))</x:f>
        <x:v>季節彈性前移區</x:v>
      </x:c>
      <x:c r="R481" s="24" t="str">
        <x:f>IF(AND(H481="是",E481="是",N481&gt;0),"是","否")</x:f>
        <x:v>是</x:v>
      </x:c>
      <x:c r="S481" s="24" t="str">
        <x:f>IF(H481="否","非本次棧板儲位分析對象",IF(R481="是","旺季前需前移並增加棧板位",IF(N481&gt;0,"需增加棧板位",IF(N481&lt;0,"可釋放部分棧板位","維持現況"))))</x:f>
        <x:v>旺季前需前移並增加棧板位</x:v>
      </x:c>
    </x:row>
    <x:row r="482">
      <x:c r="A482" s="24" t="str">
        <x:f>'500件商品'!A482</x:f>
        <x:v>PX0478</x:v>
      </x:c>
      <x:c r="B482" s="24" t="str">
        <x:f>'500件商品'!B482</x:f>
        <x:v>抹布組-小包裝</x:v>
      </x:c>
      <x:c r="C482" s="24" t="str">
        <x:f>'500件商品'!D482</x:f>
        <x:v>Cluster 5</x:v>
      </x:c>
      <x:c r="D482" s="26" t="n">
        <x:f>'500件商品'!F482</x:f>
        <x:v>35</x:v>
      </x:c>
      <x:c r="E482" s="24" t="str">
        <x:f>'500件商品'!K482</x:f>
        <x:v>否</x:v>
      </x:c>
      <x:c r="F482" s="24" t="str">
        <x:f>'500件商品'!L482</x:f>
      </x:c>
      <x:c r="G482" s="28" t="n">
        <x:f>'500件商品'!M482</x:f>
        <x:v>1</x:v>
      </x:c>
      <x:c r="H482" s="24" t="str">
        <x:f>'500件商品'!P482</x:f>
        <x:v>是</x:v>
      </x:c>
      <x:c r="I482" s="26" t="n">
        <x:f>'500件商品'!N482</x:f>
        <x:v>184</x:v>
      </x:c>
      <x:c r="J482" s="26" t="n">
        <x:f>'500件商品'!O482</x:f>
        <x:v>60</x:v>
      </x:c>
      <x:c r="K482" s="26" t="n">
        <x:f>IF(H482="是",CEILING(I482/J482,1),0)</x:f>
        <x:v>4</x:v>
      </x:c>
      <x:c r="L482" s="26" t="n">
        <x:f>ROUND(I482*G482,0)</x:f>
        <x:v>184</x:v>
      </x:c>
      <x:c r="M482" s="26" t="n">
        <x:f>IF(H482="是",CEILING(L482/J482,1),0)</x:f>
        <x:v>4</x:v>
      </x:c>
      <x:c r="N482" s="26" t="n">
        <x:f>M482-K482</x:f>
        <x:v>0</x:v>
      </x:c>
      <x:c r="O482" s="24" t="str">
        <x:f>'500件商品'!Q482</x:f>
        <x:v>3區</x:v>
      </x:c>
      <x:c r="P482" s="26" t="n">
        <x:f>'500件商品'!R482</x:f>
        <x:v>31</x:v>
      </x:c>
      <x:c r="Q482" s="24" t="str">
        <x:f>IF(H482="否","非棧板管理",IF(AND(E482="是",N482&gt;0),"季節彈性前移區",IF(OR(C482="Cluster 3",D482&gt;=55),"近端低層棧板區",IF(C482="Cluster 2","中段大貨位",IF(C482="Cluster 4","遠端彈性儲位","中段棧板區")))))</x:f>
        <x:v>中段棧板區</x:v>
      </x:c>
      <x:c r="R482" s="24" t="str">
        <x:f>IF(AND(H482="是",E482="是",N482&gt;0),"是","否")</x:f>
        <x:v>否</x:v>
      </x:c>
      <x:c r="S482" s="24" t="str">
        <x:f>IF(H482="否","非本次棧板儲位分析對象",IF(R482="是","旺季前需前移並增加棧板位",IF(N482&gt;0,"需增加棧板位",IF(N482&lt;0,"可釋放部分棧板位","維持現況"))))</x:f>
        <x:v>維持現況</x:v>
      </x:c>
    </x:row>
    <x:row r="483">
      <x:c r="A483" s="24" t="str">
        <x:f>'500件商品'!A483</x:f>
        <x:v>PX0479</x:v>
      </x:c>
      <x:c r="B483" s="24" t="str">
        <x:f>'500件商品'!B483</x:f>
        <x:v>端午禮盒-箱裝</x:v>
      </x:c>
      <x:c r="C483" s="24" t="str">
        <x:f>'500件商品'!D483</x:f>
        <x:v>Cluster 4</x:v>
      </x:c>
      <x:c r="D483" s="26" t="n">
        <x:f>'500件商品'!F483</x:f>
        <x:v>12</x:v>
      </x:c>
      <x:c r="E483" s="24" t="str">
        <x:f>'500件商品'!K483</x:f>
        <x:v>是</x:v>
      </x:c>
      <x:c r="F483" s="24" t="str">
        <x:f>'500件商品'!L483</x:f>
        <x:v>1-2月</x:v>
      </x:c>
      <x:c r="G483" s="28" t="n">
        <x:f>'500件商品'!M483</x:f>
        <x:v>2.5</x:v>
      </x:c>
      <x:c r="H483" s="24" t="str">
        <x:f>'500件商品'!P483</x:f>
        <x:v>是</x:v>
      </x:c>
      <x:c r="I483" s="26" t="n">
        <x:f>'500件商品'!N483</x:f>
        <x:v>97</x:v>
      </x:c>
      <x:c r="J483" s="26" t="n">
        <x:f>'500件商品'!O483</x:f>
        <x:v>20</x:v>
      </x:c>
      <x:c r="K483" s="26" t="n">
        <x:f>IF(H483="是",CEILING(I483/J483,1),0)</x:f>
        <x:v>5</x:v>
      </x:c>
      <x:c r="L483" s="26" t="n">
        <x:f>ROUND(I483*G483,0)</x:f>
        <x:v>243</x:v>
      </x:c>
      <x:c r="M483" s="26" t="n">
        <x:f>IF(H483="是",CEILING(L483/J483,1),0)</x:f>
        <x:v>13</x:v>
      </x:c>
      <x:c r="N483" s="26" t="n">
        <x:f>M483-K483</x:f>
        <x:v>8</x:v>
      </x:c>
      <x:c r="O483" s="24" t="str">
        <x:f>'500件商品'!Q483</x:f>
        <x:v>3區</x:v>
      </x:c>
      <x:c r="P483" s="26" t="n">
        <x:f>'500件商品'!R483</x:f>
        <x:v>50</x:v>
      </x:c>
      <x:c r="Q483" s="24" t="str">
        <x:f>IF(H483="否","非棧板管理",IF(AND(E483="是",N483&gt;0),"季節彈性前移區",IF(OR(C483="Cluster 3",D483&gt;=55),"近端低層棧板區",IF(C483="Cluster 2","中段大貨位",IF(C483="Cluster 4","遠端彈性儲位","中段棧板區")))))</x:f>
        <x:v>季節彈性前移區</x:v>
      </x:c>
      <x:c r="R483" s="24" t="str">
        <x:f>IF(AND(H483="是",E483="是",N483&gt;0),"是","否")</x:f>
        <x:v>是</x:v>
      </x:c>
      <x:c r="S483" s="24" t="str">
        <x:f>IF(H483="否","非本次棧板儲位分析對象",IF(R483="是","旺季前需前移並增加棧板位",IF(N483&gt;0,"需增加棧板位",IF(N483&lt;0,"可釋放部分棧板位","維持現況"))))</x:f>
        <x:v>旺季前需前移並增加棧板位</x:v>
      </x:c>
    </x:row>
    <x:row r="484">
      <x:c r="A484" s="24" t="str">
        <x:f>'500件商品'!A484</x:f>
        <x:v>PX0480</x:v>
      </x:c>
      <x:c r="B484" s="24" t="str">
        <x:f>'500件商品'!B484</x:f>
        <x:v>浴廁清潔劑-小包裝</x:v>
      </x:c>
      <x:c r="C484" s="24" t="str">
        <x:f>'500件商品'!D484</x:f>
        <x:v>Cluster 1</x:v>
      </x:c>
      <x:c r="D484" s="26" t="n">
        <x:f>'500件商品'!F484</x:f>
        <x:v>15</x:v>
      </x:c>
      <x:c r="E484" s="24" t="str">
        <x:f>'500件商品'!K484</x:f>
        <x:v>否</x:v>
      </x:c>
      <x:c r="F484" s="24" t="str">
        <x:f>'500件商品'!L484</x:f>
      </x:c>
      <x:c r="G484" s="28" t="n">
        <x:f>'500件商品'!M484</x:f>
        <x:v>1.1</x:v>
      </x:c>
      <x:c r="H484" s="24" t="str">
        <x:f>'500件商品'!P484</x:f>
        <x:v>是</x:v>
      </x:c>
      <x:c r="I484" s="26" t="n">
        <x:f>'500件商品'!N484</x:f>
        <x:v>91</x:v>
      </x:c>
      <x:c r="J484" s="26" t="n">
        <x:f>'500件商品'!O484</x:f>
        <x:v>80</x:v>
      </x:c>
      <x:c r="K484" s="26" t="n">
        <x:f>IF(H484="是",CEILING(I484/J484,1),0)</x:f>
        <x:v>2</x:v>
      </x:c>
      <x:c r="L484" s="26" t="n">
        <x:f>ROUND(I484*G484,0)</x:f>
        <x:v>100</x:v>
      </x:c>
      <x:c r="M484" s="26" t="n">
        <x:f>IF(H484="是",CEILING(L484/J484,1),0)</x:f>
        <x:v>2</x:v>
      </x:c>
      <x:c r="N484" s="26" t="n">
        <x:f>M484-K484</x:f>
        <x:v>0</x:v>
      </x:c>
      <x:c r="O484" s="24" t="str">
        <x:f>'500件商品'!Q484</x:f>
        <x:v>A區</x:v>
      </x:c>
      <x:c r="P484" s="26" t="n">
        <x:f>'500件商品'!R484</x:f>
        <x:v>18</x:v>
      </x:c>
      <x:c r="Q484" s="24" t="str">
        <x:f>IF(H484="否","非棧板管理",IF(AND(E484="是",N484&gt;0),"季節彈性前移區",IF(OR(C484="Cluster 3",D484&gt;=55),"近端低層棧板區",IF(C484="Cluster 2","中段大貨位",IF(C484="Cluster 4","遠端彈性儲位","中段棧板區")))))</x:f>
        <x:v>中段棧板區</x:v>
      </x:c>
      <x:c r="R484" s="24" t="str">
        <x:f>IF(AND(H484="是",E484="是",N484&gt;0),"是","否")</x:f>
        <x:v>否</x:v>
      </x:c>
      <x:c r="S484" s="24" t="str">
        <x:f>IF(H484="否","非本次棧板儲位分析對象",IF(R484="是","旺季前需前移並增加棧板位",IF(N484&gt;0,"需增加棧板位",IF(N484&lt;0,"可釋放部分棧板位","維持現況"))))</x:f>
        <x:v>維持現況</x:v>
      </x:c>
    </x:row>
    <x:row r="485">
      <x:c r="A485" s="24" t="str">
        <x:f>'500件商品'!A485</x:f>
        <x:v>PX0481</x:v>
      </x:c>
      <x:c r="B485" s="24" t="str">
        <x:f>'500件商品'!B485</x:f>
        <x:v>咖啡罐裝整箱-促銷組</x:v>
      </x:c>
      <x:c r="C485" s="24" t="str">
        <x:f>'500件商品'!D485</x:f>
        <x:v>Cluster 1</x:v>
      </x:c>
      <x:c r="D485" s="26" t="n">
        <x:f>'500件商品'!F485</x:f>
        <x:v>50</x:v>
      </x:c>
      <x:c r="E485" s="24" t="str">
        <x:f>'500件商品'!K485</x:f>
        <x:v>否</x:v>
      </x:c>
      <x:c r="F485" s="24" t="str">
        <x:f>'500件商品'!L485</x:f>
      </x:c>
      <x:c r="G485" s="28" t="n">
        <x:f>'500件商品'!M485</x:f>
        <x:v>1</x:v>
      </x:c>
      <x:c r="H485" s="24" t="str">
        <x:f>'500件商品'!P485</x:f>
        <x:v>是</x:v>
      </x:c>
      <x:c r="I485" s="26" t="n">
        <x:f>'500件商品'!N485</x:f>
        <x:v>362</x:v>
      </x:c>
      <x:c r="J485" s="26" t="n">
        <x:f>'500件商品'!O485</x:f>
        <x:v>80</x:v>
      </x:c>
      <x:c r="K485" s="26" t="n">
        <x:f>IF(H485="是",CEILING(I485/J485,1),0)</x:f>
        <x:v>5</x:v>
      </x:c>
      <x:c r="L485" s="26" t="n">
        <x:f>ROUND(I485*G485,0)</x:f>
        <x:v>362</x:v>
      </x:c>
      <x:c r="M485" s="26" t="n">
        <x:f>IF(H485="是",CEILING(L485/J485,1),0)</x:f>
        <x:v>5</x:v>
      </x:c>
      <x:c r="N485" s="26" t="n">
        <x:f>M485-K485</x:f>
        <x:v>0</x:v>
      </x:c>
      <x:c r="O485" s="24" t="str">
        <x:f>'500件商品'!Q485</x:f>
        <x:v>A區</x:v>
      </x:c>
      <x:c r="P485" s="26" t="n">
        <x:f>'500件商品'!R485</x:f>
        <x:v>37</x:v>
      </x:c>
      <x:c r="Q485" s="24" t="str">
        <x:f>IF(H485="否","非棧板管理",IF(AND(E485="是",N485&gt;0),"季節彈性前移區",IF(OR(C485="Cluster 3",D485&gt;=55),"近端低層棧板區",IF(C485="Cluster 2","中段大貨位",IF(C485="Cluster 4","遠端彈性儲位","中段棧板區")))))</x:f>
        <x:v>中段棧板區</x:v>
      </x:c>
      <x:c r="R485" s="24" t="str">
        <x:f>IF(AND(H485="是",E485="是",N485&gt;0),"是","否")</x:f>
        <x:v>否</x:v>
      </x:c>
      <x:c r="S485" s="24" t="str">
        <x:f>IF(H485="否","非本次棧板儲位分析對象",IF(R485="是","旺季前需前移並增加棧板位",IF(N485&gt;0,"需增加棧板位",IF(N485&lt;0,"可釋放部分棧板位","維持現況"))))</x:f>
        <x:v>維持現況</x:v>
      </x:c>
    </x:row>
    <x:row r="486">
      <x:c r="A486" s="24" t="str">
        <x:f>'500件商品'!A486</x:f>
        <x:v>PX0482</x:v>
      </x:c>
      <x:c r="B486" s="24" t="str">
        <x:f>'500件商品'!B486</x:f>
        <x:v>瓶裝水600ml-箱裝</x:v>
      </x:c>
      <x:c r="C486" s="24" t="str">
        <x:f>'500件商品'!D486</x:f>
        <x:v>Cluster 2</x:v>
      </x:c>
      <x:c r="D486" s="26" t="n">
        <x:f>'500件商品'!F486</x:f>
        <x:v>53</x:v>
      </x:c>
      <x:c r="E486" s="24" t="str">
        <x:f>'500件商品'!K486</x:f>
        <x:v>否</x:v>
      </x:c>
      <x:c r="F486" s="24" t="str">
        <x:f>'500件商品'!L486</x:f>
      </x:c>
      <x:c r="G486" s="28" t="n">
        <x:f>'500件商品'!M486</x:f>
        <x:v>1.2</x:v>
      </x:c>
      <x:c r="H486" s="24" t="str">
        <x:f>'500件商品'!P486</x:f>
        <x:v>是</x:v>
      </x:c>
      <x:c r="I486" s="26" t="n">
        <x:f>'500件商品'!N486</x:f>
        <x:v>264</x:v>
      </x:c>
      <x:c r="J486" s="26" t="n">
        <x:f>'500件商品'!O486</x:f>
        <x:v>48</x:v>
      </x:c>
      <x:c r="K486" s="26" t="n">
        <x:f>IF(H486="是",CEILING(I486/J486,1),0)</x:f>
        <x:v>6</x:v>
      </x:c>
      <x:c r="L486" s="26" t="n">
        <x:f>ROUND(I486*G486,0)</x:f>
        <x:v>317</x:v>
      </x:c>
      <x:c r="M486" s="26" t="n">
        <x:f>IF(H486="是",CEILING(L486/J486,1),0)</x:f>
        <x:v>7</x:v>
      </x:c>
      <x:c r="N486" s="26" t="n">
        <x:f>M486-K486</x:f>
        <x:v>1</x:v>
      </x:c>
      <x:c r="O486" s="24" t="str">
        <x:f>'500件商品'!Q486</x:f>
        <x:v>1區</x:v>
      </x:c>
      <x:c r="P486" s="26" t="n">
        <x:f>'500件商品'!R486</x:f>
        <x:v>42</x:v>
      </x:c>
      <x:c r="Q486" s="24" t="str">
        <x:f>IF(H486="否","非棧板管理",IF(AND(E486="是",N486&gt;0),"季節彈性前移區",IF(OR(C486="Cluster 3",D486&gt;=55),"近端低層棧板區",IF(C486="Cluster 2","中段大貨位",IF(C486="Cluster 4","遠端彈性儲位","中段棧板區")))))</x:f>
        <x:v>中段大貨位</x:v>
      </x:c>
      <x:c r="R486" s="24" t="str">
        <x:f>IF(AND(H486="是",E486="是",N486&gt;0),"是","否")</x:f>
        <x:v>否</x:v>
      </x:c>
      <x:c r="S486" s="24" t="str">
        <x:f>IF(H486="否","非本次棧板儲位分析對象",IF(R486="是","旺季前需前移並增加棧板位",IF(N486&gt;0,"需增加棧板位",IF(N486&lt;0,"可釋放部分棧板位","維持現況"))))</x:f>
        <x:v>需增加棧板位</x:v>
      </x:c>
    </x:row>
    <x:row r="487">
      <x:c r="A487" s="24" t="str">
        <x:f>'500件商品'!A487</x:f>
        <x:v>PX0483</x:v>
      </x:c>
      <x:c r="B487" s="24" t="str">
        <x:f>'500件商品'!B487</x:f>
        <x:v>咖啡罐裝整箱-促銷組</x:v>
      </x:c>
      <x:c r="C487" s="24" t="str">
        <x:f>'500件商品'!D487</x:f>
        <x:v>Cluster 1</x:v>
      </x:c>
      <x:c r="D487" s="26" t="n">
        <x:f>'500件商品'!F487</x:f>
        <x:v>24</x:v>
      </x:c>
      <x:c r="E487" s="24" t="str">
        <x:f>'500件商品'!K487</x:f>
        <x:v>否</x:v>
      </x:c>
      <x:c r="F487" s="24" t="str">
        <x:f>'500件商品'!L487</x:f>
      </x:c>
      <x:c r="G487" s="28" t="n">
        <x:f>'500件商品'!M487</x:f>
        <x:v>1</x:v>
      </x:c>
      <x:c r="H487" s="24" t="str">
        <x:f>'500件商品'!P487</x:f>
        <x:v>是</x:v>
      </x:c>
      <x:c r="I487" s="26" t="n">
        <x:f>'500件商品'!N487</x:f>
        <x:v>142</x:v>
      </x:c>
      <x:c r="J487" s="26" t="n">
        <x:f>'500件商品'!O487</x:f>
        <x:v>80</x:v>
      </x:c>
      <x:c r="K487" s="26" t="n">
        <x:f>IF(H487="是",CEILING(I487/J487,1),0)</x:f>
        <x:v>2</x:v>
      </x:c>
      <x:c r="L487" s="26" t="n">
        <x:f>ROUND(I487*G487,0)</x:f>
        <x:v>142</x:v>
      </x:c>
      <x:c r="M487" s="26" t="n">
        <x:f>IF(H487="是",CEILING(L487/J487,1),0)</x:f>
        <x:v>2</x:v>
      </x:c>
      <x:c r="N487" s="26" t="n">
        <x:f>M487-K487</x:f>
        <x:v>0</x:v>
      </x:c>
      <x:c r="O487" s="24" t="str">
        <x:f>'500件商品'!Q487</x:f>
        <x:v>A區</x:v>
      </x:c>
      <x:c r="P487" s="26" t="n">
        <x:f>'500件商品'!R487</x:f>
        <x:v>26</x:v>
      </x:c>
      <x:c r="Q487" s="24" t="str">
        <x:f>IF(H487="否","非棧板管理",IF(AND(E487="是",N487&gt;0),"季節彈性前移區",IF(OR(C487="Cluster 3",D487&gt;=55),"近端低層棧板區",IF(C487="Cluster 2","中段大貨位",IF(C487="Cluster 4","遠端彈性儲位","中段棧板區")))))</x:f>
        <x:v>中段棧板區</x:v>
      </x:c>
      <x:c r="R487" s="24" t="str">
        <x:f>IF(AND(H487="是",E487="是",N487&gt;0),"是","否")</x:f>
        <x:v>否</x:v>
      </x:c>
      <x:c r="S487" s="24" t="str">
        <x:f>IF(H487="否","非本次棧板儲位分析對象",IF(R487="是","旺季前需前移並增加棧板位",IF(N487&gt;0,"需增加棧板位",IF(N487&lt;0,"可釋放部分棧板位","維持現況"))))</x:f>
        <x:v>維持現況</x:v>
      </x:c>
    </x:row>
    <x:row r="488">
      <x:c r="A488" s="24" t="str">
        <x:f>'500件商品'!A488</x:f>
        <x:v>PX0484</x:v>
      </x:c>
      <x:c r="B488" s="24" t="str">
        <x:f>'500件商品'!B488</x:f>
        <x:v>廚房紙巾-補充包</x:v>
      </x:c>
      <x:c r="C488" s="24" t="str">
        <x:f>'500件商品'!D488</x:f>
        <x:v>Cluster 2</x:v>
      </x:c>
      <x:c r="D488" s="26" t="n">
        <x:f>'500件商品'!F488</x:f>
        <x:v>27</x:v>
      </x:c>
      <x:c r="E488" s="24" t="str">
        <x:f>'500件商品'!K488</x:f>
        <x:v>否</x:v>
      </x:c>
      <x:c r="F488" s="24" t="str">
        <x:f>'500件商品'!L488</x:f>
      </x:c>
      <x:c r="G488" s="28" t="n">
        <x:f>'500件商品'!M488</x:f>
        <x:v>1.1</x:v>
      </x:c>
      <x:c r="H488" s="24" t="str">
        <x:f>'500件商品'!P488</x:f>
        <x:v>是</x:v>
      </x:c>
      <x:c r="I488" s="26" t="n">
        <x:f>'500件商品'!N488</x:f>
        <x:v>202</x:v>
      </x:c>
      <x:c r="J488" s="26" t="n">
        <x:f>'500件商品'!O488</x:f>
        <x:v>30</x:v>
      </x:c>
      <x:c r="K488" s="26" t="n">
        <x:f>IF(H488="是",CEILING(I488/J488,1),0)</x:f>
        <x:v>7</x:v>
      </x:c>
      <x:c r="L488" s="26" t="n">
        <x:f>ROUND(I488*G488,0)</x:f>
        <x:v>222</x:v>
      </x:c>
      <x:c r="M488" s="26" t="n">
        <x:f>IF(H488="是",CEILING(L488/J488,1),0)</x:f>
        <x:v>8</x:v>
      </x:c>
      <x:c r="N488" s="26" t="n">
        <x:f>M488-K488</x:f>
        <x:v>1</x:v>
      </x:c>
      <x:c r="O488" s="24" t="str">
        <x:f>'500件商品'!Q488</x:f>
        <x:v>K區</x:v>
      </x:c>
      <x:c r="P488" s="26" t="n">
        <x:f>'500件商品'!R488</x:f>
        <x:v>51</x:v>
      </x:c>
      <x:c r="Q488" s="24" t="str">
        <x:f>IF(H488="否","非棧板管理",IF(AND(E488="是",N488&gt;0),"季節彈性前移區",IF(OR(C488="Cluster 3",D488&gt;=55),"近端低層棧板區",IF(C488="Cluster 2","中段大貨位",IF(C488="Cluster 4","遠端彈性儲位","中段棧板區")))))</x:f>
        <x:v>中段大貨位</x:v>
      </x:c>
      <x:c r="R488" s="24" t="str">
        <x:f>IF(AND(H488="是",E488="是",N488&gt;0),"是","否")</x:f>
        <x:v>否</x:v>
      </x:c>
      <x:c r="S488" s="24" t="str">
        <x:f>IF(H488="否","非本次棧板儲位分析對象",IF(R488="是","旺季前需前移並增加棧板位",IF(N488&gt;0,"需增加棧板位",IF(N488&lt;0,"可釋放部分棧板位","維持現況"))))</x:f>
        <x:v>需增加棧板位</x:v>
      </x:c>
    </x:row>
    <x:row r="489">
      <x:c r="A489" s="24" t="str">
        <x:f>'500件商品'!A489</x:f>
        <x:v>PX0485</x:v>
      </x:c>
      <x:c r="B489" s="24" t="str">
        <x:f>'500件商品'!B489</x:f>
        <x:v>運動飲料整箱-小包裝</x:v>
      </x:c>
      <x:c r="C489" s="24" t="str">
        <x:f>'500件商品'!D489</x:f>
        <x:v>Cluster 3</x:v>
      </x:c>
      <x:c r="D489" s="26" t="n">
        <x:f>'500件商品'!F489</x:f>
        <x:v>61</x:v>
      </x:c>
      <x:c r="E489" s="24" t="str">
        <x:f>'500件商品'!K489</x:f>
        <x:v>否</x:v>
      </x:c>
      <x:c r="F489" s="24" t="str">
        <x:f>'500件商品'!L489</x:f>
      </x:c>
      <x:c r="G489" s="28" t="n">
        <x:f>'500件商品'!M489</x:f>
        <x:v>1.3</x:v>
      </x:c>
      <x:c r="H489" s="24" t="str">
        <x:f>'500件商品'!P489</x:f>
        <x:v>是</x:v>
      </x:c>
      <x:c r="I489" s="26" t="n">
        <x:f>'500件商品'!N489</x:f>
        <x:v>649</x:v>
      </x:c>
      <x:c r="J489" s="26" t="n">
        <x:f>'500件商品'!O489</x:f>
        <x:v>48</x:v>
      </x:c>
      <x:c r="K489" s="26" t="n">
        <x:f>IF(H489="是",CEILING(I489/J489,1),0)</x:f>
        <x:v>14</x:v>
      </x:c>
      <x:c r="L489" s="26" t="n">
        <x:f>ROUND(I489*G489,0)</x:f>
        <x:v>844</x:v>
      </x:c>
      <x:c r="M489" s="26" t="n">
        <x:f>IF(H489="是",CEILING(L489/J489,1),0)</x:f>
        <x:v>18</x:v>
      </x:c>
      <x:c r="N489" s="26" t="n">
        <x:f>M489-K489</x:f>
        <x:v>4</x:v>
      </x:c>
      <x:c r="O489" s="24" t="str">
        <x:f>'500件商品'!Q489</x:f>
        <x:v>K區</x:v>
      </x:c>
      <x:c r="P489" s="26" t="n">
        <x:f>'500件商品'!R489</x:f>
        <x:v>58</x:v>
      </x:c>
      <x:c r="Q489" s="24" t="str">
        <x:f>IF(H489="否","非棧板管理",IF(AND(E489="是",N489&gt;0),"季節彈性前移區",IF(OR(C489="Cluster 3",D489&gt;=55),"近端低層棧板區",IF(C489="Cluster 2","中段大貨位",IF(C489="Cluster 4","遠端彈性儲位","中段棧板區")))))</x:f>
        <x:v>近端低層棧板區</x:v>
      </x:c>
      <x:c r="R489" s="24" t="str">
        <x:f>IF(AND(H489="是",E489="是",N489&gt;0),"是","否")</x:f>
        <x:v>否</x:v>
      </x:c>
      <x:c r="S489" s="24" t="str">
        <x:f>IF(H489="否","非本次棧板儲位分析對象",IF(R489="是","旺季前需前移並增加棧板位",IF(N489&gt;0,"需增加棧板位",IF(N489&lt;0,"可釋放部分棧板位","維持現況"))))</x:f>
        <x:v>需增加棧板位</x:v>
      </x:c>
    </x:row>
    <x:row r="490">
      <x:c r="A490" s="24" t="str">
        <x:f>'500件商品'!A490</x:f>
        <x:v>PX0486</x:v>
      </x:c>
      <x:c r="B490" s="24" t="str">
        <x:f>'500件商品'!B490</x:f>
        <x:v>擦手紙箱-促銷組</x:v>
      </x:c>
      <x:c r="C490" s="24" t="str">
        <x:f>'500件商品'!D490</x:f>
        <x:v>Cluster 2</x:v>
      </x:c>
      <x:c r="D490" s="26" t="n">
        <x:f>'500件商品'!F490</x:f>
        <x:v>39</x:v>
      </x:c>
      <x:c r="E490" s="24" t="str">
        <x:f>'500件商品'!K490</x:f>
        <x:v>否</x:v>
      </x:c>
      <x:c r="F490" s="24" t="str">
        <x:f>'500件商品'!L490</x:f>
      </x:c>
      <x:c r="G490" s="28" t="n">
        <x:f>'500件商品'!M490</x:f>
        <x:v>1</x:v>
      </x:c>
      <x:c r="H490" s="24" t="str">
        <x:f>'500件商品'!P490</x:f>
        <x:v>是</x:v>
      </x:c>
      <x:c r="I490" s="26" t="n">
        <x:f>'500件商品'!N490</x:f>
        <x:v>272</x:v>
      </x:c>
      <x:c r="J490" s="26" t="n">
        <x:f>'500件商品'!O490</x:f>
        <x:v>30</x:v>
      </x:c>
      <x:c r="K490" s="26" t="n">
        <x:f>IF(H490="是",CEILING(I490/J490,1),0)</x:f>
        <x:v>10</x:v>
      </x:c>
      <x:c r="L490" s="26" t="n">
        <x:f>ROUND(I490*G490,0)</x:f>
        <x:v>272</x:v>
      </x:c>
      <x:c r="M490" s="26" t="n">
        <x:f>IF(H490="是",CEILING(L490/J490,1),0)</x:f>
        <x:v>10</x:v>
      </x:c>
      <x:c r="N490" s="26" t="n">
        <x:f>M490-K490</x:f>
        <x:v>0</x:v>
      </x:c>
      <x:c r="O490" s="24" t="str">
        <x:f>'500件商品'!Q490</x:f>
        <x:v>K區</x:v>
      </x:c>
      <x:c r="P490" s="26" t="n">
        <x:f>'500件商品'!R490</x:f>
        <x:v>38</x:v>
      </x:c>
      <x:c r="Q490" s="24" t="str">
        <x:f>IF(H490="否","非棧板管理",IF(AND(E490="是",N490&gt;0),"季節彈性前移區",IF(OR(C490="Cluster 3",D490&gt;=55),"近端低層棧板區",IF(C490="Cluster 2","中段大貨位",IF(C490="Cluster 4","遠端彈性儲位","中段棧板區")))))</x:f>
        <x:v>中段大貨位</x:v>
      </x:c>
      <x:c r="R490" s="24" t="str">
        <x:f>IF(AND(H490="是",E490="是",N490&gt;0),"是","否")</x:f>
        <x:v>否</x:v>
      </x:c>
      <x:c r="S490" s="24" t="str">
        <x:f>IF(H490="否","非本次棧板儲位分析對象",IF(R490="是","旺季前需前移並增加棧板位",IF(N490&gt;0,"需增加棧板位",IF(N490&lt;0,"可釋放部分棧板位","維持現況"))))</x:f>
        <x:v>維持現況</x:v>
      </x:c>
    </x:row>
    <x:row r="491">
      <x:c r="A491" s="24" t="str">
        <x:f>'500件商品'!A491</x:f>
        <x:v>PX0487</x:v>
      </x:c>
      <x:c r="B491" s="24" t="str">
        <x:f>'500件商品'!B491</x:f>
        <x:v>碳酸飲料整箱-箱裝</x:v>
      </x:c>
      <x:c r="C491" s="24" t="str">
        <x:f>'500件商品'!D491</x:f>
        <x:v>Cluster 2</x:v>
      </x:c>
      <x:c r="D491" s="26" t="n">
        <x:f>'500件商品'!F491</x:f>
        <x:v>26</x:v>
      </x:c>
      <x:c r="E491" s="24" t="str">
        <x:f>'500件商品'!K491</x:f>
        <x:v>否</x:v>
      </x:c>
      <x:c r="F491" s="24" t="str">
        <x:f>'500件商品'!L491</x:f>
      </x:c>
      <x:c r="G491" s="28" t="n">
        <x:f>'500件商品'!M491</x:f>
        <x:v>1.5</x:v>
      </x:c>
      <x:c r="H491" s="24" t="str">
        <x:f>'500件商品'!P491</x:f>
        <x:v>是</x:v>
      </x:c>
      <x:c r="I491" s="26" t="n">
        <x:f>'500件商品'!N491</x:f>
        <x:v>275</x:v>
      </x:c>
      <x:c r="J491" s="26" t="n">
        <x:f>'500件商品'!O491</x:f>
        <x:v>36</x:v>
      </x:c>
      <x:c r="K491" s="26" t="n">
        <x:f>IF(H491="是",CEILING(I491/J491,1),0)</x:f>
        <x:v>8</x:v>
      </x:c>
      <x:c r="L491" s="26" t="n">
        <x:f>ROUND(I491*G491,0)</x:f>
        <x:v>413</x:v>
      </x:c>
      <x:c r="M491" s="26" t="n">
        <x:f>IF(H491="是",CEILING(L491/J491,1),0)</x:f>
        <x:v>12</x:v>
      </x:c>
      <x:c r="N491" s="26" t="n">
        <x:f>M491-K491</x:f>
        <x:v>4</x:v>
      </x:c>
      <x:c r="O491" s="24" t="str">
        <x:f>'500件商品'!Q491</x:f>
        <x:v>彈性區</x:v>
      </x:c>
      <x:c r="P491" s="26" t="n">
        <x:f>'500件商品'!R491</x:f>
        <x:v>59</x:v>
      </x:c>
      <x:c r="Q491" s="24" t="str">
        <x:f>IF(H491="否","非棧板管理",IF(AND(E491="是",N491&gt;0),"季節彈性前移區",IF(OR(C491="Cluster 3",D491&gt;=55),"近端低層棧板區",IF(C491="Cluster 2","中段大貨位",IF(C491="Cluster 4","遠端彈性儲位","中段棧板區")))))</x:f>
        <x:v>中段大貨位</x:v>
      </x:c>
      <x:c r="R491" s="24" t="str">
        <x:f>IF(AND(H491="是",E491="是",N491&gt;0),"是","否")</x:f>
        <x:v>否</x:v>
      </x:c>
      <x:c r="S491" s="24" t="str">
        <x:f>IF(H491="否","非本次棧板儲位分析對象",IF(R491="是","旺季前需前移並增加棧板位",IF(N491&gt;0,"需增加棧板位",IF(N491&lt;0,"可釋放部分棧板位","維持現況"))))</x:f>
        <x:v>需增加棧板位</x:v>
      </x:c>
    </x:row>
    <x:row r="492">
      <x:c r="A492" s="24" t="str">
        <x:f>'500件商品'!A492</x:f>
        <x:v>PX0488</x:v>
      </x:c>
      <x:c r="B492" s="24" t="str">
        <x:f>'500件商品'!B492</x:f>
        <x:v>牙刷組-家庭號</x:v>
      </x:c>
      <x:c r="C492" s="24" t="str">
        <x:f>'500件商品'!D492</x:f>
        <x:v>Cluster 5</x:v>
      </x:c>
      <x:c r="D492" s="26" t="n">
        <x:f>'500件商品'!F492</x:f>
        <x:v>38</x:v>
      </x:c>
      <x:c r="E492" s="24" t="str">
        <x:f>'500件商品'!K492</x:f>
        <x:v>否</x:v>
      </x:c>
      <x:c r="F492" s="24" t="str">
        <x:f>'500件商品'!L492</x:f>
      </x:c>
      <x:c r="G492" s="28" t="n">
        <x:f>'500件商品'!M492</x:f>
        <x:v>1</x:v>
      </x:c>
      <x:c r="H492" s="24" t="str">
        <x:f>'500件商品'!P492</x:f>
        <x:v>是</x:v>
      </x:c>
      <x:c r="I492" s="26" t="n">
        <x:f>'500件商品'!N492</x:f>
        <x:v>189</x:v>
      </x:c>
      <x:c r="J492" s="26" t="n">
        <x:f>'500件商品'!O492</x:f>
        <x:v>80</x:v>
      </x:c>
      <x:c r="K492" s="26" t="n">
        <x:f>IF(H492="是",CEILING(I492/J492,1),0)</x:f>
        <x:v>3</x:v>
      </x:c>
      <x:c r="L492" s="26" t="n">
        <x:f>ROUND(I492*G492,0)</x:f>
        <x:v>189</x:v>
      </x:c>
      <x:c r="M492" s="26" t="n">
        <x:f>IF(H492="是",CEILING(L492/J492,1),0)</x:f>
        <x:v>3</x:v>
      </x:c>
      <x:c r="N492" s="26" t="n">
        <x:f>M492-K492</x:f>
        <x:v>0</x:v>
      </x:c>
      <x:c r="O492" s="24" t="str">
        <x:f>'500件商品'!Q492</x:f>
        <x:v>彈性區</x:v>
      </x:c>
      <x:c r="P492" s="26" t="n">
        <x:f>'500件商品'!R492</x:f>
        <x:v>51</x:v>
      </x:c>
      <x:c r="Q492" s="24" t="str">
        <x:f>IF(H492="否","非棧板管理",IF(AND(E492="是",N492&gt;0),"季節彈性前移區",IF(OR(C492="Cluster 3",D492&gt;=55),"近端低層棧板區",IF(C492="Cluster 2","中段大貨位",IF(C492="Cluster 4","遠端彈性儲位","中段棧板區")))))</x:f>
        <x:v>中段棧板區</x:v>
      </x:c>
      <x:c r="R492" s="24" t="str">
        <x:f>IF(AND(H492="是",E492="是",N492&gt;0),"是","否")</x:f>
        <x:v>否</x:v>
      </x:c>
      <x:c r="S492" s="24" t="str">
        <x:f>IF(H492="否","非本次棧板儲位分析對象",IF(R492="是","旺季前需前移並增加棧板位",IF(N492&gt;0,"需增加棧板位",IF(N492&lt;0,"可釋放部分棧板位","維持現況"))))</x:f>
        <x:v>維持現況</x:v>
      </x:c>
    </x:row>
    <x:row r="493">
      <x:c r="A493" s="24" t="str">
        <x:f>'500件商品'!A493</x:f>
        <x:v>PX0489</x:v>
      </x:c>
      <x:c r="B493" s="24" t="str">
        <x:f>'500件商品'!B493</x:f>
        <x:v>泡麵箱-家庭號</x:v>
      </x:c>
      <x:c r="C493" s="24" t="str">
        <x:f>'500件商品'!D493</x:f>
        <x:v>Cluster 4</x:v>
      </x:c>
      <x:c r="D493" s="26" t="n">
        <x:f>'500件商品'!F493</x:f>
        <x:v>6</x:v>
      </x:c>
      <x:c r="E493" s="24" t="str">
        <x:f>'500件商品'!K493</x:f>
        <x:v>是</x:v>
      </x:c>
      <x:c r="F493" s="24" t="str">
        <x:f>'500件商品'!L493</x:f>
        <x:v>旺季</x:v>
      </x:c>
      <x:c r="G493" s="28" t="n">
        <x:f>'500件商品'!M493</x:f>
        <x:v>3</x:v>
      </x:c>
      <x:c r="H493" s="24" t="str">
        <x:f>'500件商品'!P493</x:f>
        <x:v>否</x:v>
      </x:c>
      <x:c r="I493" s="26" t="n">
        <x:f>'500件商品'!N493</x:f>
        <x:v>76</x:v>
      </x:c>
      <x:c r="J493" s="26" t="str">
        <x:f>'500件商品'!O493</x:f>
      </x:c>
      <x:c r="K493" s="26" t="n">
        <x:f>IF(H493="是",CEILING(I493/J493,1),0)</x:f>
        <x:v>0</x:v>
      </x:c>
      <x:c r="L493" s="26" t="n">
        <x:f>ROUND(I493*G493,0)</x:f>
        <x:v>228</x:v>
      </x:c>
      <x:c r="M493" s="26" t="n">
        <x:f>IF(H493="是",CEILING(L493/J493,1),0)</x:f>
        <x:v>0</x:v>
      </x:c>
      <x:c r="N493" s="26" t="n">
        <x:f>M493-K493</x:f>
        <x:v>0</x:v>
      </x:c>
      <x:c r="O493" s="24" t="str">
        <x:f>'500件商品'!Q493</x:f>
        <x:v>遠端區</x:v>
      </x:c>
      <x:c r="P493" s="26" t="n">
        <x:f>'500件商品'!R493</x:f>
        <x:v>69</x:v>
      </x:c>
      <x:c r="Q493" s="24" t="str">
        <x:f>IF(H493="否","非棧板管理",IF(AND(E493="是",N493&gt;0),"季節彈性前移區",IF(OR(C493="Cluster 3",D493&gt;=55),"近端低層棧板區",IF(C493="Cluster 2","中段大貨位",IF(C493="Cluster 4","遠端彈性儲位","中段棧板區")))))</x:f>
        <x:v>非棧板管理</x:v>
      </x:c>
      <x:c r="R493" s="24" t="str">
        <x:f>IF(AND(H493="是",E493="是",N493&gt;0),"是","否")</x:f>
        <x:v>否</x:v>
      </x:c>
      <x:c r="S493" s="24" t="str">
        <x:f>IF(H493="否","非本次棧板儲位分析對象",IF(R493="是","旺季前需前移並增加棧板位",IF(N493&gt;0,"需增加棧板位",IF(N493&lt;0,"可釋放部分棧板位","維持現況"))))</x:f>
        <x:v>非本次棧板儲位分析對象</x:v>
      </x:c>
    </x:row>
    <x:row r="494">
      <x:c r="A494" s="24" t="str">
        <x:f>'500件商品'!A494</x:f>
        <x:v>PX0490</x:v>
      </x:c>
      <x:c r="B494" s="24" t="str">
        <x:f>'500件商品'!B494</x:f>
        <x:v>廚房紙巾-標準箱</x:v>
      </x:c>
      <x:c r="C494" s="24" t="str">
        <x:f>'500件商品'!D494</x:f>
        <x:v>Cluster 2</x:v>
      </x:c>
      <x:c r="D494" s="26" t="n">
        <x:f>'500件商品'!F494</x:f>
        <x:v>57</x:v>
      </x:c>
      <x:c r="E494" s="24" t="str">
        <x:f>'500件商品'!K494</x:f>
        <x:v>否</x:v>
      </x:c>
      <x:c r="F494" s="24" t="str">
        <x:f>'500件商品'!L494</x:f>
      </x:c>
      <x:c r="G494" s="28" t="n">
        <x:f>'500件商品'!M494</x:f>
        <x:v>1.1</x:v>
      </x:c>
      <x:c r="H494" s="24" t="str">
        <x:f>'500件商品'!P494</x:f>
        <x:v>是</x:v>
      </x:c>
      <x:c r="I494" s="26" t="n">
        <x:f>'500件商品'!N494</x:f>
        <x:v>232</x:v>
      </x:c>
      <x:c r="J494" s="26" t="n">
        <x:f>'500件商品'!O494</x:f>
        <x:v>30</x:v>
      </x:c>
      <x:c r="K494" s="26" t="n">
        <x:f>IF(H494="是",CEILING(I494/J494,1),0)</x:f>
        <x:v>8</x:v>
      </x:c>
      <x:c r="L494" s="26" t="n">
        <x:f>ROUND(I494*G494,0)</x:f>
        <x:v>255</x:v>
      </x:c>
      <x:c r="M494" s="26" t="n">
        <x:f>IF(H494="是",CEILING(L494/J494,1),0)</x:f>
        <x:v>9</x:v>
      </x:c>
      <x:c r="N494" s="26" t="n">
        <x:f>M494-K494</x:f>
        <x:v>1</x:v>
      </x:c>
      <x:c r="O494" s="24" t="str">
        <x:f>'500件商品'!Q494</x:f>
        <x:v>K區</x:v>
      </x:c>
      <x:c r="P494" s="26" t="n">
        <x:f>'500件商品'!R494</x:f>
        <x:v>45</x:v>
      </x:c>
      <x:c r="Q494" s="24" t="str">
        <x:f>IF(H494="否","非棧板管理",IF(AND(E494="是",N494&gt;0),"季節彈性前移區",IF(OR(C494="Cluster 3",D494&gt;=55),"近端低層棧板區",IF(C494="Cluster 2","中段大貨位",IF(C494="Cluster 4","遠端彈性儲位","中段棧板區")))))</x:f>
        <x:v>近端低層棧板區</x:v>
      </x:c>
      <x:c r="R494" s="24" t="str">
        <x:f>IF(AND(H494="是",E494="是",N494&gt;0),"是","否")</x:f>
        <x:v>否</x:v>
      </x:c>
      <x:c r="S494" s="24" t="str">
        <x:f>IF(H494="否","非本次棧板儲位分析對象",IF(R494="是","旺季前需前移並增加棧板位",IF(N494&gt;0,"需增加棧板位",IF(N494&lt;0,"可釋放部分棧板位","維持現況"))))</x:f>
        <x:v>需增加棧板位</x:v>
      </x:c>
    </x:row>
    <x:row r="495">
      <x:c r="A495" s="24" t="str">
        <x:f>'500件商品'!A495</x:f>
        <x:v>PX0491</x:v>
      </x:c>
      <x:c r="B495" s="24" t="str">
        <x:f>'500件商品'!B495</x:f>
        <x:v>咖哩塊箱-小包裝</x:v>
      </x:c>
      <x:c r="C495" s="24" t="str">
        <x:f>'500件商品'!D495</x:f>
        <x:v>Cluster 4</x:v>
      </x:c>
      <x:c r="D495" s="26" t="n">
        <x:f>'500件商品'!F495</x:f>
        <x:v>8</x:v>
      </x:c>
      <x:c r="E495" s="24" t="str">
        <x:f>'500件商品'!K495</x:f>
        <x:v>是</x:v>
      </x:c>
      <x:c r="F495" s="24" t="str">
        <x:f>'500件商品'!L495</x:f>
        <x:v>旺季</x:v>
      </x:c>
      <x:c r="G495" s="28" t="n">
        <x:f>'500件商品'!M495</x:f>
        <x:v>1.8</x:v>
      </x:c>
      <x:c r="H495" s="24" t="str">
        <x:f>'500件商品'!P495</x:f>
        <x:v>否</x:v>
      </x:c>
      <x:c r="I495" s="26" t="n">
        <x:f>'500件商品'!N495</x:f>
        <x:v>207</x:v>
      </x:c>
      <x:c r="J495" s="26" t="str">
        <x:f>'500件商品'!O495</x:f>
      </x:c>
      <x:c r="K495" s="26" t="n">
        <x:f>IF(H495="是",CEILING(I495/J495,1),0)</x:f>
        <x:v>0</x:v>
      </x:c>
      <x:c r="L495" s="26" t="n">
        <x:f>ROUND(I495*G495,0)</x:f>
        <x:v>373</x:v>
      </x:c>
      <x:c r="M495" s="26" t="n">
        <x:f>IF(H495="是",CEILING(L495/J495,1),0)</x:f>
        <x:v>0</x:v>
      </x:c>
      <x:c r="N495" s="26" t="n">
        <x:f>M495-K495</x:f>
        <x:v>0</x:v>
      </x:c>
      <x:c r="O495" s="24" t="str">
        <x:f>'500件商品'!Q495</x:f>
        <x:v>A區</x:v>
      </x:c>
      <x:c r="P495" s="26" t="n">
        <x:f>'500件商品'!R495</x:f>
        <x:v>23</x:v>
      </x:c>
      <x:c r="Q495" s="24" t="str">
        <x:f>IF(H495="否","非棧板管理",IF(AND(E495="是",N495&gt;0),"季節彈性前移區",IF(OR(C495="Cluster 3",D495&gt;=55),"近端低層棧板區",IF(C495="Cluster 2","中段大貨位",IF(C495="Cluster 4","遠端彈性儲位","中段棧板區")))))</x:f>
        <x:v>非棧板管理</x:v>
      </x:c>
      <x:c r="R495" s="24" t="str">
        <x:f>IF(AND(H495="是",E495="是",N495&gt;0),"是","否")</x:f>
        <x:v>否</x:v>
      </x:c>
      <x:c r="S495" s="24" t="str">
        <x:f>IF(H495="否","非本次棧板儲位分析對象",IF(R495="是","旺季前需前移並增加棧板位",IF(N495&gt;0,"需增加棧板位",IF(N495&lt;0,"可釋放部分棧板位","維持現況"))))</x:f>
        <x:v>非本次棧板儲位分析對象</x:v>
      </x:c>
    </x:row>
    <x:row r="496">
      <x:c r="A496" s="24" t="str">
        <x:f>'500件商品'!A496</x:f>
        <x:v>PX0492</x:v>
      </x:c>
      <x:c r="B496" s="24" t="str">
        <x:f>'500件商品'!B496</x:f>
        <x:v>白米3kg-標準箱</x:v>
      </x:c>
      <x:c r="C496" s="24" t="str">
        <x:f>'500件商品'!D496</x:f>
        <x:v>Cluster 5</x:v>
      </x:c>
      <x:c r="D496" s="26" t="n">
        <x:f>'500件商品'!F496</x:f>
        <x:v>8</x:v>
      </x:c>
      <x:c r="E496" s="24" t="str">
        <x:f>'500件商品'!K496</x:f>
        <x:v>否</x:v>
      </x:c>
      <x:c r="F496" s="24" t="str">
        <x:f>'500件商品'!L496</x:f>
      </x:c>
      <x:c r="G496" s="28" t="n">
        <x:f>'500件商品'!M496</x:f>
        <x:v>1</x:v>
      </x:c>
      <x:c r="H496" s="24" t="str">
        <x:f>'500件商品'!P496</x:f>
        <x:v>是</x:v>
      </x:c>
      <x:c r="I496" s="26" t="n">
        <x:f>'500件商品'!N496</x:f>
        <x:v>49</x:v>
      </x:c>
      <x:c r="J496" s="26" t="n">
        <x:f>'500件商品'!O496</x:f>
        <x:v>48</x:v>
      </x:c>
      <x:c r="K496" s="26" t="n">
        <x:f>IF(H496="是",CEILING(I496/J496,1),0)</x:f>
        <x:v>2</x:v>
      </x:c>
      <x:c r="L496" s="26" t="n">
        <x:f>ROUND(I496*G496,0)</x:f>
        <x:v>49</x:v>
      </x:c>
      <x:c r="M496" s="26" t="n">
        <x:f>IF(H496="是",CEILING(L496/J496,1),0)</x:f>
        <x:v>2</x:v>
      </x:c>
      <x:c r="N496" s="26" t="n">
        <x:f>M496-K496</x:f>
        <x:v>0</x:v>
      </x:c>
      <x:c r="O496" s="24" t="str">
        <x:f>'500件商品'!Q496</x:f>
        <x:v>K區</x:v>
      </x:c>
      <x:c r="P496" s="26" t="n">
        <x:f>'500件商品'!R496</x:f>
        <x:v>48</x:v>
      </x:c>
      <x:c r="Q496" s="24" t="str">
        <x:f>IF(H496="否","非棧板管理",IF(AND(E496="是",N496&gt;0),"季節彈性前移區",IF(OR(C496="Cluster 3",D496&gt;=55),"近端低層棧板區",IF(C496="Cluster 2","中段大貨位",IF(C496="Cluster 4","遠端彈性儲位","中段棧板區")))))</x:f>
        <x:v>中段棧板區</x:v>
      </x:c>
      <x:c r="R496" s="24" t="str">
        <x:f>IF(AND(H496="是",E496="是",N496&gt;0),"是","否")</x:f>
        <x:v>否</x:v>
      </x:c>
      <x:c r="S496" s="24" t="str">
        <x:f>IF(H496="否","非本次棧板儲位分析對象",IF(R496="是","旺季前需前移並增加棧板位",IF(N496&gt;0,"需增加棧板位",IF(N496&lt;0,"可釋放部分棧板位","維持現況"))))</x:f>
        <x:v>維持現況</x:v>
      </x:c>
    </x:row>
    <x:row r="497">
      <x:c r="A497" s="24" t="str">
        <x:f>'500件商品'!A497</x:f>
        <x:v>PX0493</x:v>
      </x:c>
      <x:c r="B497" s="24" t="str">
        <x:f>'500件商品'!B497</x:f>
        <x:v>貓砂10L-補充包</x:v>
      </x:c>
      <x:c r="C497" s="24" t="str">
        <x:f>'500件商品'!D497</x:f>
        <x:v>Cluster 2</x:v>
      </x:c>
      <x:c r="D497" s="26" t="n">
        <x:f>'500件商品'!F497</x:f>
        <x:v>40</x:v>
      </x:c>
      <x:c r="E497" s="24" t="str">
        <x:f>'500件商品'!K497</x:f>
        <x:v>否</x:v>
      </x:c>
      <x:c r="F497" s="24" t="str">
        <x:f>'500件商品'!L497</x:f>
      </x:c>
      <x:c r="G497" s="28" t="n">
        <x:f>'500件商品'!M497</x:f>
        <x:v>1</x:v>
      </x:c>
      <x:c r="H497" s="24" t="str">
        <x:f>'500件商品'!P497</x:f>
        <x:v>是</x:v>
      </x:c>
      <x:c r="I497" s="26" t="n">
        <x:f>'500件商品'!N497</x:f>
        <x:v>189</x:v>
      </x:c>
      <x:c r="J497" s="26" t="n">
        <x:f>'500件商品'!O497</x:f>
        <x:v>24</x:v>
      </x:c>
      <x:c r="K497" s="26" t="n">
        <x:f>IF(H497="是",CEILING(I497/J497,1),0)</x:f>
        <x:v>8</x:v>
      </x:c>
      <x:c r="L497" s="26" t="n">
        <x:f>ROUND(I497*G497,0)</x:f>
        <x:v>189</x:v>
      </x:c>
      <x:c r="M497" s="26" t="n">
        <x:f>IF(H497="是",CEILING(L497/J497,1),0)</x:f>
        <x:v>8</x:v>
      </x:c>
      <x:c r="N497" s="26" t="n">
        <x:f>M497-K497</x:f>
        <x:v>0</x:v>
      </x:c>
      <x:c r="O497" s="24" t="str">
        <x:f>'500件商品'!Q497</x:f>
        <x:v>A區</x:v>
      </x:c>
      <x:c r="P497" s="26" t="n">
        <x:f>'500件商品'!R497</x:f>
        <x:v>21</x:v>
      </x:c>
      <x:c r="Q497" s="24" t="str">
        <x:f>IF(H497="否","非棧板管理",IF(AND(E497="是",N497&gt;0),"季節彈性前移區",IF(OR(C497="Cluster 3",D497&gt;=55),"近端低層棧板區",IF(C497="Cluster 2","中段大貨位",IF(C497="Cluster 4","遠端彈性儲位","中段棧板區")))))</x:f>
        <x:v>中段大貨位</x:v>
      </x:c>
      <x:c r="R497" s="24" t="str">
        <x:f>IF(AND(H497="是",E497="是",N497&gt;0),"是","否")</x:f>
        <x:v>否</x:v>
      </x:c>
      <x:c r="S497" s="24" t="str">
        <x:f>IF(H497="否","非本次棧板儲位分析對象",IF(R497="是","旺季前需前移並增加棧板位",IF(N497&gt;0,"需增加棧板位",IF(N497&lt;0,"可釋放部分棧板位","維持現況"))))</x:f>
        <x:v>維持現況</x:v>
      </x:c>
    </x:row>
    <x:row r="498">
      <x:c r="A498" s="24" t="str">
        <x:f>'500件商品'!A498</x:f>
        <x:v>PX0494</x:v>
      </x:c>
      <x:c r="B498" s="24" t="str">
        <x:f>'500件商品'!B498</x:f>
        <x:v>貓砂10L-促銷組</x:v>
      </x:c>
      <x:c r="C498" s="24" t="str">
        <x:f>'500件商品'!D498</x:f>
        <x:v>Cluster 2</x:v>
      </x:c>
      <x:c r="D498" s="26" t="n">
        <x:f>'500件商品'!F498</x:f>
        <x:v>53</x:v>
      </x:c>
      <x:c r="E498" s="24" t="str">
        <x:f>'500件商品'!K498</x:f>
        <x:v>否</x:v>
      </x:c>
      <x:c r="F498" s="24" t="str">
        <x:f>'500件商品'!L498</x:f>
      </x:c>
      <x:c r="G498" s="28" t="n">
        <x:f>'500件商品'!M498</x:f>
        <x:v>1</x:v>
      </x:c>
      <x:c r="H498" s="24" t="str">
        <x:f>'500件商品'!P498</x:f>
        <x:v>是</x:v>
      </x:c>
      <x:c r="I498" s="26" t="n">
        <x:f>'500件商品'!N498</x:f>
        <x:v>303</x:v>
      </x:c>
      <x:c r="J498" s="26" t="n">
        <x:f>'500件商品'!O498</x:f>
        <x:v>18</x:v>
      </x:c>
      <x:c r="K498" s="26" t="n">
        <x:f>IF(H498="是",CEILING(I498/J498,1),0)</x:f>
        <x:v>17</x:v>
      </x:c>
      <x:c r="L498" s="26" t="n">
        <x:f>ROUND(I498*G498,0)</x:f>
        <x:v>303</x:v>
      </x:c>
      <x:c r="M498" s="26" t="n">
        <x:f>IF(H498="是",CEILING(L498/J498,1),0)</x:f>
        <x:v>17</x:v>
      </x:c>
      <x:c r="N498" s="26" t="n">
        <x:f>M498-K498</x:f>
        <x:v>0</x:v>
      </x:c>
      <x:c r="O498" s="24" t="str">
        <x:f>'500件商品'!Q498</x:f>
        <x:v>1區</x:v>
      </x:c>
      <x:c r="P498" s="26" t="n">
        <x:f>'500件商品'!R498</x:f>
        <x:v>35</x:v>
      </x:c>
      <x:c r="Q498" s="24" t="str">
        <x:f>IF(H498="否","非棧板管理",IF(AND(E498="是",N498&gt;0),"季節彈性前移區",IF(OR(C498="Cluster 3",D498&gt;=55),"近端低層棧板區",IF(C498="Cluster 2","中段大貨位",IF(C498="Cluster 4","遠端彈性儲位","中段棧板區")))))</x:f>
        <x:v>中段大貨位</x:v>
      </x:c>
      <x:c r="R498" s="24" t="str">
        <x:f>IF(AND(H498="是",E498="是",N498&gt;0),"是","否")</x:f>
        <x:v>否</x:v>
      </x:c>
      <x:c r="S498" s="24" t="str">
        <x:f>IF(H498="否","非本次棧板儲位分析對象",IF(R498="是","旺季前需前移並增加棧板位",IF(N498&gt;0,"需增加棧板位",IF(N498&lt;0,"可釋放部分棧板位","維持現況"))))</x:f>
        <x:v>維持現況</x:v>
      </x:c>
    </x:row>
    <x:row r="499">
      <x:c r="A499" s="24" t="str">
        <x:f>'500件商品'!A499</x:f>
        <x:v>PX0495</x:v>
      </x:c>
      <x:c r="B499" s="24" t="str">
        <x:f>'500件商品'!B499</x:f>
        <x:v>咖啡罐裝整箱-小包裝</x:v>
      </x:c>
      <x:c r="C499" s="24" t="str">
        <x:f>'500件商品'!D499</x:f>
        <x:v>Cluster 1</x:v>
      </x:c>
      <x:c r="D499" s="26" t="n">
        <x:f>'500件商品'!F499</x:f>
        <x:v>42</x:v>
      </x:c>
      <x:c r="E499" s="24" t="str">
        <x:f>'500件商品'!K499</x:f>
        <x:v>否</x:v>
      </x:c>
      <x:c r="F499" s="24" t="str">
        <x:f>'500件商品'!L499</x:f>
      </x:c>
      <x:c r="G499" s="28" t="n">
        <x:f>'500件商品'!M499</x:f>
        <x:v>1</x:v>
      </x:c>
      <x:c r="H499" s="24" t="str">
        <x:f>'500件商品'!P499</x:f>
        <x:v>是</x:v>
      </x:c>
      <x:c r="I499" s="26" t="n">
        <x:f>'500件商品'!N499</x:f>
        <x:v>189</x:v>
      </x:c>
      <x:c r="J499" s="26" t="n">
        <x:f>'500件商品'!O499</x:f>
        <x:v>72</x:v>
      </x:c>
      <x:c r="K499" s="26" t="n">
        <x:f>IF(H499="是",CEILING(I499/J499,1),0)</x:f>
        <x:v>3</x:v>
      </x:c>
      <x:c r="L499" s="26" t="n">
        <x:f>ROUND(I499*G499,0)</x:f>
        <x:v>189</x:v>
      </x:c>
      <x:c r="M499" s="26" t="n">
        <x:f>IF(H499="是",CEILING(L499/J499,1),0)</x:f>
        <x:v>3</x:v>
      </x:c>
      <x:c r="N499" s="26" t="n">
        <x:f>M499-K499</x:f>
        <x:v>0</x:v>
      </x:c>
      <x:c r="O499" s="24" t="str">
        <x:f>'500件商品'!Q499</x:f>
        <x:v>1區</x:v>
      </x:c>
      <x:c r="P499" s="26" t="n">
        <x:f>'500件商品'!R499</x:f>
        <x:v>40</x:v>
      </x:c>
      <x:c r="Q499" s="24" t="str">
        <x:f>IF(H499="否","非棧板管理",IF(AND(E499="是",N499&gt;0),"季節彈性前移區",IF(OR(C499="Cluster 3",D499&gt;=55),"近端低層棧板區",IF(C499="Cluster 2","中段大貨位",IF(C499="Cluster 4","遠端彈性儲位","中段棧板區")))))</x:f>
        <x:v>中段棧板區</x:v>
      </x:c>
      <x:c r="R499" s="24" t="str">
        <x:f>IF(AND(H499="是",E499="是",N499&gt;0),"是","否")</x:f>
        <x:v>否</x:v>
      </x:c>
      <x:c r="S499" s="24" t="str">
        <x:f>IF(H499="否","非本次棧板儲位分析對象",IF(R499="是","旺季前需前移並增加棧板位",IF(N499&gt;0,"需增加棧板位",IF(N499&lt;0,"可釋放部分棧板位","維持現況"))))</x:f>
        <x:v>維持現況</x:v>
      </x:c>
    </x:row>
    <x:row r="500">
      <x:c r="A500" s="24" t="str">
        <x:f>'500件商品'!A500</x:f>
        <x:v>PX0496</x:v>
      </x:c>
      <x:c r="B500" s="24" t="str">
        <x:f>'500件商品'!B500</x:f>
        <x:v>洗碗精-箱裝</x:v>
      </x:c>
      <x:c r="C500" s="24" t="str">
        <x:f>'500件商品'!D500</x:f>
        <x:v>Cluster 1</x:v>
      </x:c>
      <x:c r="D500" s="26" t="n">
        <x:f>'500件商品'!F500</x:f>
        <x:v>10</x:v>
      </x:c>
      <x:c r="E500" s="24" t="str">
        <x:f>'500件商品'!K500</x:f>
        <x:v>否</x:v>
      </x:c>
      <x:c r="F500" s="24" t="str">
        <x:f>'500件商品'!L500</x:f>
      </x:c>
      <x:c r="G500" s="28" t="n">
        <x:f>'500件商品'!M500</x:f>
        <x:v>1</x:v>
      </x:c>
      <x:c r="H500" s="24" t="str">
        <x:f>'500件商品'!P500</x:f>
        <x:v>是</x:v>
      </x:c>
      <x:c r="I500" s="26" t="n">
        <x:f>'500件商品'!N500</x:f>
        <x:v>46</x:v>
      </x:c>
      <x:c r="J500" s="26" t="n">
        <x:f>'500件商品'!O500</x:f>
        <x:v>48</x:v>
      </x:c>
      <x:c r="K500" s="26" t="n">
        <x:f>IF(H500="是",CEILING(I500/J500,1),0)</x:f>
        <x:v>1</x:v>
      </x:c>
      <x:c r="L500" s="26" t="n">
        <x:f>ROUND(I500*G500,0)</x:f>
        <x:v>46</x:v>
      </x:c>
      <x:c r="M500" s="26" t="n">
        <x:f>IF(H500="是",CEILING(L500/J500,1),0)</x:f>
        <x:v>1</x:v>
      </x:c>
      <x:c r="N500" s="26" t="n">
        <x:f>M500-K500</x:f>
        <x:v>0</x:v>
      </x:c>
      <x:c r="O500" s="24" t="str">
        <x:f>'500件商品'!Q500</x:f>
        <x:v>3區</x:v>
      </x:c>
      <x:c r="P500" s="26" t="n">
        <x:f>'500件商品'!R500</x:f>
        <x:v>30</x:v>
      </x:c>
      <x:c r="Q500" s="24" t="str">
        <x:f>IF(H500="否","非棧板管理",IF(AND(E500="是",N500&gt;0),"季節彈性前移區",IF(OR(C500="Cluster 3",D500&gt;=55),"近端低層棧板區",IF(C500="Cluster 2","中段大貨位",IF(C500="Cluster 4","遠端彈性儲位","中段棧板區")))))</x:f>
        <x:v>中段棧板區</x:v>
      </x:c>
      <x:c r="R500" s="24" t="str">
        <x:f>IF(AND(H500="是",E500="是",N500&gt;0),"是","否")</x:f>
        <x:v>否</x:v>
      </x:c>
      <x:c r="S500" s="24" t="str">
        <x:f>IF(H500="否","非本次棧板儲位分析對象",IF(R500="是","旺季前需前移並增加棧板位",IF(N500&gt;0,"需增加棧板位",IF(N500&lt;0,"可釋放部分棧板位","維持現況"))))</x:f>
        <x:v>維持現況</x:v>
      </x:c>
    </x:row>
    <x:row r="501">
      <x:c r="A501" s="24" t="str">
        <x:f>'500件商品'!A501</x:f>
        <x:v>PX0497</x:v>
      </x:c>
      <x:c r="B501" s="24" t="str">
        <x:f>'500件商品'!B501</x:f>
        <x:v>碳酸飲料整箱-標準箱</x:v>
      </x:c>
      <x:c r="C501" s="24" t="str">
        <x:f>'500件商品'!D501</x:f>
        <x:v>Cluster 2</x:v>
      </x:c>
      <x:c r="D501" s="26" t="n">
        <x:f>'500件商品'!F501</x:f>
        <x:v>35</x:v>
      </x:c>
      <x:c r="E501" s="24" t="str">
        <x:f>'500件商品'!K501</x:f>
        <x:v>否</x:v>
      </x:c>
      <x:c r="F501" s="24" t="str">
        <x:f>'500件商品'!L501</x:f>
      </x:c>
      <x:c r="G501" s="28" t="n">
        <x:f>'500件商品'!M501</x:f>
        <x:v>1.2</x:v>
      </x:c>
      <x:c r="H501" s="24" t="str">
        <x:f>'500件商品'!P501</x:f>
        <x:v>是</x:v>
      </x:c>
      <x:c r="I501" s="26" t="n">
        <x:f>'500件商品'!N501</x:f>
        <x:v>167</x:v>
      </x:c>
      <x:c r="J501" s="26" t="n">
        <x:f>'500件商品'!O501</x:f>
        <x:v>48</x:v>
      </x:c>
      <x:c r="K501" s="26" t="n">
        <x:f>IF(H501="是",CEILING(I501/J501,1),0)</x:f>
        <x:v>4</x:v>
      </x:c>
      <x:c r="L501" s="26" t="n">
        <x:f>ROUND(I501*G501,0)</x:f>
        <x:v>200</x:v>
      </x:c>
      <x:c r="M501" s="26" t="n">
        <x:f>IF(H501="是",CEILING(L501/J501,1),0)</x:f>
        <x:v>5</x:v>
      </x:c>
      <x:c r="N501" s="26" t="n">
        <x:f>M501-K501</x:f>
        <x:v>1</x:v>
      </x:c>
      <x:c r="O501" s="24" t="str">
        <x:f>'500件商品'!Q501</x:f>
        <x:v>彈性區</x:v>
      </x:c>
      <x:c r="P501" s="26" t="n">
        <x:f>'500件商品'!R501</x:f>
        <x:v>49</x:v>
      </x:c>
      <x:c r="Q501" s="24" t="str">
        <x:f>IF(H501="否","非棧板管理",IF(AND(E501="是",N501&gt;0),"季節彈性前移區",IF(OR(C501="Cluster 3",D501&gt;=55),"近端低層棧板區",IF(C501="Cluster 2","中段大貨位",IF(C501="Cluster 4","遠端彈性儲位","中段棧板區")))))</x:f>
        <x:v>中段大貨位</x:v>
      </x:c>
      <x:c r="R501" s="24" t="str">
        <x:f>IF(AND(H501="是",E501="是",N501&gt;0),"是","否")</x:f>
        <x:v>否</x:v>
      </x:c>
      <x:c r="S501" s="24" t="str">
        <x:f>IF(H501="否","非本次棧板儲位分析對象",IF(R501="是","旺季前需前移並增加棧板位",IF(N501&gt;0,"需增加棧板位",IF(N501&lt;0,"可釋放部分棧板位","維持現況"))))</x:f>
        <x:v>需增加棧板位</x:v>
      </x:c>
    </x:row>
    <x:row r="502">
      <x:c r="A502" s="24" t="str">
        <x:f>'500件商品'!A502</x:f>
        <x:v>PX0498</x:v>
      </x:c>
      <x:c r="B502" s="24" t="str">
        <x:f>'500件商品'!B502</x:f>
        <x:v>包裝膠帶-家庭號</x:v>
      </x:c>
      <x:c r="C502" s="24" t="str">
        <x:f>'500件商品'!D502</x:f>
        <x:v>Cluster 5</x:v>
      </x:c>
      <x:c r="D502" s="26" t="n">
        <x:f>'500件商品'!F502</x:f>
        <x:v>20</x:v>
      </x:c>
      <x:c r="E502" s="24" t="str">
        <x:f>'500件商品'!K502</x:f>
        <x:v>否</x:v>
      </x:c>
      <x:c r="F502" s="24" t="str">
        <x:f>'500件商品'!L502</x:f>
      </x:c>
      <x:c r="G502" s="28" t="n">
        <x:f>'500件商品'!M502</x:f>
        <x:v>1</x:v>
      </x:c>
      <x:c r="H502" s="24" t="str">
        <x:f>'500件商品'!P502</x:f>
        <x:v>否</x:v>
      </x:c>
      <x:c r="I502" s="26" t="n">
        <x:f>'500件商品'!N502</x:f>
        <x:v>177</x:v>
      </x:c>
      <x:c r="J502" s="26" t="str">
        <x:f>'500件商品'!O502</x:f>
      </x:c>
      <x:c r="K502" s="26" t="n">
        <x:f>IF(H502="是",CEILING(I502/J502,1),0)</x:f>
        <x:v>0</x:v>
      </x:c>
      <x:c r="L502" s="26" t="n">
        <x:f>ROUND(I502*G502,0)</x:f>
        <x:v>177</x:v>
      </x:c>
      <x:c r="M502" s="26" t="n">
        <x:f>IF(H502="是",CEILING(L502/J502,1),0)</x:f>
        <x:v>0</x:v>
      </x:c>
      <x:c r="N502" s="26" t="n">
        <x:f>M502-K502</x:f>
        <x:v>0</x:v>
      </x:c>
      <x:c r="O502" s="24" t="str">
        <x:f>'500件商品'!Q502</x:f>
        <x:v>K區</x:v>
      </x:c>
      <x:c r="P502" s="26" t="n">
        <x:f>'500件商品'!R502</x:f>
        <x:v>55</x:v>
      </x:c>
      <x:c r="Q502" s="24" t="str">
        <x:f>IF(H502="否","非棧板管理",IF(AND(E502="是",N502&gt;0),"季節彈性前移區",IF(OR(C502="Cluster 3",D502&gt;=55),"近端低層棧板區",IF(C502="Cluster 2","中段大貨位",IF(C502="Cluster 4","遠端彈性儲位","中段棧板區")))))</x:f>
        <x:v>非棧板管理</x:v>
      </x:c>
      <x:c r="R502" s="24" t="str">
        <x:f>IF(AND(H502="是",E502="是",N502&gt;0),"是","否")</x:f>
        <x:v>否</x:v>
      </x:c>
      <x:c r="S502" s="24" t="str">
        <x:f>IF(H502="否","非本次棧板儲位分析對象",IF(R502="是","旺季前需前移並增加棧板位",IF(N502&gt;0,"需增加棧板位",IF(N502&lt;0,"可釋放部分棧板位","維持現況"))))</x:f>
        <x:v>非本次棧板儲位分析對象</x:v>
      </x:c>
    </x:row>
    <x:row r="503">
      <x:c r="A503" s="24" t="str">
        <x:f>'500件商品'!A503</x:f>
        <x:v>PX0499</x:v>
      </x:c>
      <x:c r="B503" s="24" t="str">
        <x:f>'500件商品'!B503</x:f>
        <x:v>餐巾紙箱-箱裝</x:v>
      </x:c>
      <x:c r="C503" s="24" t="str">
        <x:f>'500件商品'!D503</x:f>
        <x:v>Cluster 5</x:v>
      </x:c>
      <x:c r="D503" s="26" t="n">
        <x:f>'500件商品'!F503</x:f>
        <x:v>26</x:v>
      </x:c>
      <x:c r="E503" s="24" t="str">
        <x:f>'500件商品'!K503</x:f>
        <x:v>否</x:v>
      </x:c>
      <x:c r="F503" s="24" t="str">
        <x:f>'500件商品'!L503</x:f>
      </x:c>
      <x:c r="G503" s="28" t="n">
        <x:f>'500件商品'!M503</x:f>
        <x:v>1</x:v>
      </x:c>
      <x:c r="H503" s="24" t="str">
        <x:f>'500件商品'!P503</x:f>
        <x:v>否</x:v>
      </x:c>
      <x:c r="I503" s="26" t="n">
        <x:f>'500件商品'!N503</x:f>
        <x:v>121</x:v>
      </x:c>
      <x:c r="J503" s="26" t="str">
        <x:f>'500件商品'!O503</x:f>
      </x:c>
      <x:c r="K503" s="26" t="n">
        <x:f>IF(H503="是",CEILING(I503/J503,1),0)</x:f>
        <x:v>0</x:v>
      </x:c>
      <x:c r="L503" s="26" t="n">
        <x:f>ROUND(I503*G503,0)</x:f>
        <x:v>121</x:v>
      </x:c>
      <x:c r="M503" s="26" t="n">
        <x:f>IF(H503="是",CEILING(L503/J503,1),0)</x:f>
        <x:v>0</x:v>
      </x:c>
      <x:c r="N503" s="26" t="n">
        <x:f>M503-K503</x:f>
        <x:v>0</x:v>
      </x:c>
      <x:c r="O503" s="24" t="str">
        <x:f>'500件商品'!Q503</x:f>
        <x:v>彈性區</x:v>
      </x:c>
      <x:c r="P503" s="26" t="n">
        <x:f>'500件商品'!R503</x:f>
        <x:v>48</x:v>
      </x:c>
      <x:c r="Q503" s="24" t="str">
        <x:f>IF(H503="否","非棧板管理",IF(AND(E503="是",N503&gt;0),"季節彈性前移區",IF(OR(C503="Cluster 3",D503&gt;=55),"近端低層棧板區",IF(C503="Cluster 2","中段大貨位",IF(C503="Cluster 4","遠端彈性儲位","中段棧板區")))))</x:f>
        <x:v>非棧板管理</x:v>
      </x:c>
      <x:c r="R503" s="24" t="str">
        <x:f>IF(AND(H503="是",E503="是",N503&gt;0),"是","否")</x:f>
        <x:v>否</x:v>
      </x:c>
      <x:c r="S503" s="24" t="str">
        <x:f>IF(H503="否","非本次棧板儲位分析對象",IF(R503="是","旺季前需前移並增加棧板位",IF(N503&gt;0,"需增加棧板位",IF(N503&lt;0,"可釋放部分棧板位","維持現況"))))</x:f>
        <x:v>非本次棧板儲位分析對象</x:v>
      </x:c>
    </x:row>
    <x:row r="504">
      <x:c r="A504" s="24" t="str">
        <x:f>'500件商品'!A504</x:f>
        <x:v>PX0500</x:v>
      </x:c>
      <x:c r="B504" s="24" t="str">
        <x:f>'500件商品'!B504</x:f>
        <x:v>浴廁清潔劑-促銷組</x:v>
      </x:c>
      <x:c r="C504" s="24" t="str">
        <x:f>'500件商品'!D504</x:f>
        <x:v>Cluster 1</x:v>
      </x:c>
      <x:c r="D504" s="26" t="n">
        <x:f>'500件商品'!F504</x:f>
        <x:v>40</x:v>
      </x:c>
      <x:c r="E504" s="24" t="str">
        <x:f>'500件商品'!K504</x:f>
        <x:v>否</x:v>
      </x:c>
      <x:c r="F504" s="24" t="n">
        <x:f>'500件商品'!L504</x:f>
        <x:v>0</x:v>
      </x:c>
      <x:c r="G504" s="28" t="n">
        <x:f>'500件商品'!M504</x:f>
        <x:v>1</x:v>
      </x:c>
      <x:c r="H504" s="24" t="str">
        <x:f>'500件商品'!P504</x:f>
        <x:v>是</x:v>
      </x:c>
      <x:c r="I504" s="26" t="n">
        <x:f>'500件商品'!N504</x:f>
        <x:v>153</x:v>
      </x:c>
      <x:c r="J504" s="26" t="n">
        <x:f>'500件商品'!O504</x:f>
        <x:v>72</x:v>
      </x:c>
      <x:c r="K504" s="26" t="n">
        <x:f>IF(H504="是",CEILING(I504/J504,1),0)</x:f>
        <x:v>3</x:v>
      </x:c>
      <x:c r="L504" s="26" t="n">
        <x:f>ROUND(I504*G504,0)</x:f>
        <x:v>153</x:v>
      </x:c>
      <x:c r="M504" s="26" t="n">
        <x:f>IF(H504="是",CEILING(L504/J504,1),0)</x:f>
        <x:v>3</x:v>
      </x:c>
      <x:c r="N504" s="26" t="n">
        <x:f>M504-K504</x:f>
        <x:v>0</x:v>
      </x:c>
      <x:c r="O504" s="24" t="str">
        <x:f>'500件商品'!Q504</x:f>
        <x:v>A區</x:v>
      </x:c>
      <x:c r="P504" s="26" t="n">
        <x:f>'500件商品'!R504</x:f>
        <x:v>31</x:v>
      </x:c>
      <x:c r="Q504" s="24" t="str">
        <x:f>IF(H504="否","非棧板管理",IF(AND(E504="是",N504&gt;0),"季節彈性前移區",IF(OR(C504="Cluster 3",D504&gt;=55),"近端低層棧板區",IF(C504="Cluster 2","中段大貨位",IF(C504="Cluster 4","遠端彈性儲位","中段棧板區")))))</x:f>
        <x:v>中段棧板區</x:v>
      </x:c>
      <x:c r="R504" s="24" t="str">
        <x:f>IF(AND(H504="是",E504="是",N504&gt;0),"是","否")</x:f>
        <x:v>否</x:v>
      </x:c>
      <x:c r="S504" s="24" t="str">
        <x:f>IF(H504="否","非本次棧板儲位分析對象",IF(R504="是","旺季前需前移並增加棧板位",IF(N504&gt;0,"需增加棧板位",IF(N504&lt;0,"可釋放部分棧板位","維持現況"))))</x:f>
        <x:v>維持現況</x:v>
      </x:c>
    </x:row>
  </x:sheetData>
  <x:mergeCells>
    <x:mergeCell ref="A1:S1"/>
    <x:mergeCell ref="A2:S2"/>
    <x:mergeCell ref="U1:Z1"/>
  </x:mergeCells>
  <x:conditionalFormatting sqref="H5:H504">
    <x:cfRule type="expression" dxfId="3" priority="1">
      <x:formula>$H5="是"</x:formula>
    </x:cfRule>
    <x:cfRule type="expression" dxfId="4" priority="2">
      <x:formula>$H5="否"</x:formula>
    </x:cfRule>
  </x:conditionalFormatting>
  <x:conditionalFormatting sqref="R5:R504">
    <x:cfRule type="expression" dxfId="5" priority="3">
      <x:formula>$R5="是"</x:formula>
    </x:cfRule>
  </x:conditionalFormatting>
  <x:conditionalFormatting sqref="N5:N504">
    <x:cfRule type="expression" dxfId="6" priority="4">
      <x:formula>$N5&gt;0</x:formula>
    </x:cfRule>
    <x:cfRule type="expression" dxfId="7" priority="5">
      <x:formula>$N5&lt;0</x:formula>
    </x:cfRule>
  </x:conditionalFormatting>
  <x:pageMargins left="0.7" right="0.7" top="0.75" bottom="0.75" header="0.3" footer="0.3"/>
  <x:drawing xmlns:r="http://schemas.openxmlformats.org/officeDocument/2006/relationships" r:id="R7581f392867b47fb"/>
  <x:tableParts count="1">
    <x:tablePart xmlns:r="http://schemas.openxmlformats.org/officeDocument/2006/relationships" r:id="Rb8a583d60d814baa"/>
  </x:tableParts>
</x:worksheet>
</file>